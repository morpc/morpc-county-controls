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https://morpc1-my.sharepoint.com/personal/aporr_morpc_org/Documents/morpc-county-controls/deliverables/"/>
    </mc:Choice>
  </mc:AlternateContent>
  <xr:revisionPtr revIDLastSave="266" documentId="13_ncr:1_{FEDAB63D-10CA-4599-8BA6-3BB53647E261}" xr6:coauthVersionLast="47" xr6:coauthVersionMax="47" xr10:uidLastSave="{139C922E-7EF5-4051-A75C-3C654862E80F}"/>
  <bookViews>
    <workbookView xWindow="-108" yWindow="-108" windowWidth="23256" windowHeight="12576" activeTab="2" xr2:uid="{F64F9374-0129-4F22-866A-EB0C57D391D3}"/>
  </bookViews>
  <sheets>
    <sheet name="Total Population" sheetId="6" r:id="rId1"/>
    <sheet name="Population Charts" sheetId="17" r:id="rId2"/>
    <sheet name="Population by Age" sheetId="3" r:id="rId3"/>
    <sheet name="Group Quarters and Households" sheetId="7" r:id="rId4"/>
    <sheet name="Household Population by Age" sheetId="11" r:id="rId5"/>
    <sheet name="Households and Housing Units" sheetId="9" r:id="rId6"/>
    <sheet name="Residential Labor Force" sheetId="8" r:id="rId7"/>
    <sheet name="Jobs" sheetId="10" r:id="rId8"/>
    <sheet name="All Data (Unformatted)" sheetId="1" r:id="rId9"/>
    <sheet name="Variable Dictionary" sheetId="2" r:id="rId10"/>
    <sheet name="Population Chart Data" sheetId="16" r:id="rId11"/>
    <sheet name="Revision History" sheetId="18" r:id="rId12"/>
  </sheets>
  <definedNames>
    <definedName name="_xlnm._FilterDatabase" localSheetId="8" hidden="1">'All Data (Unformatted)'!$A$1:$J$358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59" i="10" l="1"/>
  <c r="P115" i="10"/>
  <c r="N73" i="10"/>
  <c r="M112" i="10"/>
  <c r="L71" i="10"/>
  <c r="K50" i="10"/>
  <c r="D127" i="1"/>
  <c r="P47" i="10"/>
  <c r="O45" i="10"/>
  <c r="N45" i="10"/>
  <c r="G273" i="1"/>
  <c r="K39" i="10"/>
  <c r="J272" i="1"/>
  <c r="F272" i="1"/>
  <c r="I271" i="1"/>
  <c r="E271" i="1"/>
  <c r="P76" i="10"/>
  <c r="H270" i="1"/>
  <c r="D270" i="1"/>
  <c r="G269" i="1"/>
  <c r="J268" i="1"/>
  <c r="F268" i="1"/>
  <c r="I267" i="1"/>
  <c r="E267" i="1"/>
  <c r="H266" i="1"/>
  <c r="L112" i="10"/>
  <c r="D266" i="1"/>
  <c r="G265" i="1"/>
  <c r="J264" i="1"/>
  <c r="F264" i="1"/>
  <c r="I263" i="1"/>
  <c r="E263" i="1"/>
  <c r="H262" i="1"/>
  <c r="D262" i="1"/>
  <c r="G261" i="1"/>
  <c r="J260" i="1"/>
  <c r="N26" i="10"/>
  <c r="F260" i="1"/>
  <c r="I259" i="1"/>
  <c r="E259" i="1"/>
  <c r="F256" i="1"/>
  <c r="J255" i="1"/>
  <c r="E255" i="1"/>
  <c r="I254" i="1"/>
  <c r="D254" i="1"/>
  <c r="H253" i="1"/>
  <c r="J252" i="1"/>
  <c r="I251" i="1"/>
  <c r="F251" i="1"/>
  <c r="H250" i="1"/>
  <c r="E250" i="1"/>
  <c r="G249" i="1"/>
  <c r="D249" i="1"/>
  <c r="F248" i="1"/>
  <c r="J247" i="1"/>
  <c r="E247" i="1"/>
  <c r="I246" i="1"/>
  <c r="D246" i="1"/>
  <c r="H245" i="1"/>
  <c r="J244" i="1"/>
  <c r="G244" i="1"/>
  <c r="I243" i="1"/>
  <c r="F243" i="1"/>
  <c r="H242" i="1"/>
  <c r="E242" i="1"/>
  <c r="J84" i="1"/>
  <c r="H83" i="1"/>
  <c r="H82" i="1"/>
  <c r="N114" i="10"/>
  <c r="F80" i="1"/>
  <c r="E80" i="1"/>
  <c r="D79" i="1"/>
  <c r="D78" i="1"/>
  <c r="J77" i="1"/>
  <c r="J76" i="1"/>
  <c r="I75" i="1"/>
  <c r="H75" i="1"/>
  <c r="H74" i="1"/>
  <c r="F73" i="1"/>
  <c r="F72" i="1"/>
  <c r="H117" i="1"/>
  <c r="H40" i="10"/>
  <c r="H109" i="1"/>
  <c r="F107" i="1"/>
  <c r="J290" i="1"/>
  <c r="G290" i="1"/>
  <c r="J289" i="1"/>
  <c r="I289" i="1"/>
  <c r="F289" i="1"/>
  <c r="I288" i="1"/>
  <c r="H288" i="1"/>
  <c r="E288" i="1"/>
  <c r="H287" i="1"/>
  <c r="G287" i="1"/>
  <c r="D287" i="1"/>
  <c r="G286" i="1"/>
  <c r="F286" i="1"/>
  <c r="J285" i="1"/>
  <c r="F285" i="1"/>
  <c r="E285" i="1"/>
  <c r="I284" i="1"/>
  <c r="E284" i="1"/>
  <c r="D284" i="1"/>
  <c r="H283" i="1"/>
  <c r="D283" i="1"/>
  <c r="J282" i="1"/>
  <c r="G282" i="1"/>
  <c r="J281" i="1"/>
  <c r="I281" i="1"/>
  <c r="F281" i="1"/>
  <c r="I280" i="1"/>
  <c r="H280" i="1"/>
  <c r="E280" i="1"/>
  <c r="H279" i="1"/>
  <c r="G279" i="1"/>
  <c r="D279" i="1"/>
  <c r="G278" i="1"/>
  <c r="F278" i="1"/>
  <c r="J277" i="1"/>
  <c r="F277" i="1"/>
  <c r="E277" i="1"/>
  <c r="I276" i="1"/>
  <c r="E276" i="1"/>
  <c r="D276" i="1"/>
  <c r="I290" i="1"/>
  <c r="H290" i="1"/>
  <c r="F290" i="1"/>
  <c r="E290" i="1"/>
  <c r="D290" i="1"/>
  <c r="H289" i="1"/>
  <c r="G289" i="1"/>
  <c r="E289" i="1"/>
  <c r="D289" i="1"/>
  <c r="J288" i="1"/>
  <c r="G288" i="1"/>
  <c r="F288" i="1"/>
  <c r="D288" i="1"/>
  <c r="J287" i="1"/>
  <c r="I287" i="1"/>
  <c r="F287" i="1"/>
  <c r="E287" i="1"/>
  <c r="J286" i="1"/>
  <c r="I286" i="1"/>
  <c r="H286" i="1"/>
  <c r="E286" i="1"/>
  <c r="D286" i="1"/>
  <c r="I285" i="1"/>
  <c r="H285" i="1"/>
  <c r="G285" i="1"/>
  <c r="D285" i="1"/>
  <c r="J284" i="1"/>
  <c r="H284" i="1"/>
  <c r="G284" i="1"/>
  <c r="F284" i="1"/>
  <c r="J283" i="1"/>
  <c r="I283" i="1"/>
  <c r="G283" i="1"/>
  <c r="F283" i="1"/>
  <c r="E283" i="1"/>
  <c r="I282" i="1"/>
  <c r="H282" i="1"/>
  <c r="F282" i="1"/>
  <c r="E282" i="1"/>
  <c r="D282" i="1"/>
  <c r="H281" i="1"/>
  <c r="G281" i="1"/>
  <c r="E281" i="1"/>
  <c r="D281" i="1"/>
  <c r="J280" i="1"/>
  <c r="G280" i="1"/>
  <c r="F280" i="1"/>
  <c r="D280" i="1"/>
  <c r="J279" i="1"/>
  <c r="I279" i="1"/>
  <c r="F279" i="1"/>
  <c r="E279" i="1"/>
  <c r="J278" i="1"/>
  <c r="I278" i="1"/>
  <c r="H278" i="1"/>
  <c r="E278" i="1"/>
  <c r="D278" i="1"/>
  <c r="I277" i="1"/>
  <c r="H277" i="1"/>
  <c r="G277" i="1"/>
  <c r="D277" i="1"/>
  <c r="J276" i="1"/>
  <c r="H276" i="1"/>
  <c r="G276" i="1"/>
  <c r="F276" i="1"/>
  <c r="J273" i="1"/>
  <c r="I273" i="1"/>
  <c r="H273" i="1"/>
  <c r="F273" i="1"/>
  <c r="E273" i="1"/>
  <c r="D273" i="1"/>
  <c r="I272" i="1"/>
  <c r="H272" i="1"/>
  <c r="G272" i="1"/>
  <c r="E272" i="1"/>
  <c r="D272" i="1"/>
  <c r="J271" i="1"/>
  <c r="H271" i="1"/>
  <c r="G271" i="1"/>
  <c r="F271" i="1"/>
  <c r="D271" i="1"/>
  <c r="J270" i="1"/>
  <c r="I270" i="1"/>
  <c r="G270" i="1"/>
  <c r="F270" i="1"/>
  <c r="E270" i="1"/>
  <c r="J269" i="1"/>
  <c r="I269" i="1"/>
  <c r="H269" i="1"/>
  <c r="F269" i="1"/>
  <c r="E269" i="1"/>
  <c r="D269" i="1"/>
  <c r="I268" i="1"/>
  <c r="H268" i="1"/>
  <c r="G268" i="1"/>
  <c r="E268" i="1"/>
  <c r="D268" i="1"/>
  <c r="J267" i="1"/>
  <c r="H267" i="1"/>
  <c r="G267" i="1"/>
  <c r="F267" i="1"/>
  <c r="D267" i="1"/>
  <c r="J266" i="1"/>
  <c r="I266" i="1"/>
  <c r="G266" i="1"/>
  <c r="F266" i="1"/>
  <c r="E266" i="1"/>
  <c r="J265" i="1"/>
  <c r="I265" i="1"/>
  <c r="H265" i="1"/>
  <c r="F265" i="1"/>
  <c r="E265" i="1"/>
  <c r="D265" i="1"/>
  <c r="I264" i="1"/>
  <c r="H264" i="1"/>
  <c r="G264" i="1"/>
  <c r="E264" i="1"/>
  <c r="D264" i="1"/>
  <c r="J263" i="1"/>
  <c r="H263" i="1"/>
  <c r="G263" i="1"/>
  <c r="F263" i="1"/>
  <c r="D263" i="1"/>
  <c r="J262" i="1"/>
  <c r="I262" i="1"/>
  <c r="G262" i="1"/>
  <c r="F262" i="1"/>
  <c r="E262" i="1"/>
  <c r="J261" i="1"/>
  <c r="I261" i="1"/>
  <c r="H261" i="1"/>
  <c r="F261" i="1"/>
  <c r="E261" i="1"/>
  <c r="D261" i="1"/>
  <c r="I260" i="1"/>
  <c r="H260" i="1"/>
  <c r="G260" i="1"/>
  <c r="E260" i="1"/>
  <c r="D260" i="1"/>
  <c r="J259" i="1"/>
  <c r="H259" i="1"/>
  <c r="G259" i="1"/>
  <c r="F259" i="1"/>
  <c r="D259" i="1"/>
  <c r="J256" i="1"/>
  <c r="I256" i="1"/>
  <c r="H256" i="1"/>
  <c r="G256" i="1"/>
  <c r="E256" i="1"/>
  <c r="D256" i="1"/>
  <c r="I255" i="1"/>
  <c r="H255" i="1"/>
  <c r="G255" i="1"/>
  <c r="F255" i="1"/>
  <c r="D255" i="1"/>
  <c r="J254" i="1"/>
  <c r="H254" i="1"/>
  <c r="G254" i="1"/>
  <c r="F254" i="1"/>
  <c r="E254" i="1"/>
  <c r="J253" i="1"/>
  <c r="I253" i="1"/>
  <c r="G253" i="1"/>
  <c r="F253" i="1"/>
  <c r="E253" i="1"/>
  <c r="D253" i="1"/>
  <c r="I252" i="1"/>
  <c r="H252" i="1"/>
  <c r="F252" i="1"/>
  <c r="E252" i="1"/>
  <c r="D252" i="1"/>
  <c r="J251" i="1"/>
  <c r="H251" i="1"/>
  <c r="G251" i="1"/>
  <c r="E251" i="1"/>
  <c r="D251" i="1"/>
  <c r="J250" i="1"/>
  <c r="I250" i="1"/>
  <c r="G250" i="1"/>
  <c r="F250" i="1"/>
  <c r="D250" i="1"/>
  <c r="J249" i="1"/>
  <c r="I249" i="1"/>
  <c r="H249" i="1"/>
  <c r="F249" i="1"/>
  <c r="E249" i="1"/>
  <c r="J248" i="1"/>
  <c r="I248" i="1"/>
  <c r="H248" i="1"/>
  <c r="G248" i="1"/>
  <c r="E248" i="1"/>
  <c r="D248" i="1"/>
  <c r="I247" i="1"/>
  <c r="H247" i="1"/>
  <c r="G247" i="1"/>
  <c r="F247" i="1"/>
  <c r="D247" i="1"/>
  <c r="J246" i="1"/>
  <c r="H246" i="1"/>
  <c r="G246" i="1"/>
  <c r="F246" i="1"/>
  <c r="E246" i="1"/>
  <c r="J245" i="1"/>
  <c r="I245" i="1"/>
  <c r="G245" i="1"/>
  <c r="F245" i="1"/>
  <c r="E245" i="1"/>
  <c r="D245" i="1"/>
  <c r="I244" i="1"/>
  <c r="H244" i="1"/>
  <c r="F244" i="1"/>
  <c r="E244" i="1"/>
  <c r="D244" i="1"/>
  <c r="J243" i="1"/>
  <c r="H243" i="1"/>
  <c r="G243" i="1"/>
  <c r="E243" i="1"/>
  <c r="D243" i="1"/>
  <c r="J242" i="1"/>
  <c r="I242" i="1"/>
  <c r="G242" i="1"/>
  <c r="F242" i="1"/>
  <c r="D242" i="1"/>
  <c r="J137" i="1"/>
  <c r="I137" i="1"/>
  <c r="H137" i="1"/>
  <c r="G137" i="1"/>
  <c r="F137" i="1"/>
  <c r="E137" i="1"/>
  <c r="D137" i="1"/>
  <c r="J136" i="1"/>
  <c r="I136" i="1"/>
  <c r="H136" i="1"/>
  <c r="G136" i="1"/>
  <c r="F136" i="1"/>
  <c r="E136" i="1"/>
  <c r="D136" i="1"/>
  <c r="J135" i="1"/>
  <c r="I135" i="1"/>
  <c r="H135" i="1"/>
  <c r="G135" i="1"/>
  <c r="F135" i="1"/>
  <c r="E135" i="1"/>
  <c r="D135" i="1"/>
  <c r="J134" i="1"/>
  <c r="I134" i="1"/>
  <c r="H134" i="1"/>
  <c r="G134" i="1"/>
  <c r="F134" i="1"/>
  <c r="E134" i="1"/>
  <c r="D134" i="1"/>
  <c r="J133" i="1"/>
  <c r="I133" i="1"/>
  <c r="H133" i="1"/>
  <c r="G133" i="1"/>
  <c r="F133" i="1"/>
  <c r="E133" i="1"/>
  <c r="D133" i="1"/>
  <c r="J132" i="1"/>
  <c r="I132" i="1"/>
  <c r="H132" i="1"/>
  <c r="G132" i="1"/>
  <c r="F132" i="1"/>
  <c r="E132" i="1"/>
  <c r="D132" i="1"/>
  <c r="J131" i="1"/>
  <c r="I131" i="1"/>
  <c r="H131" i="1"/>
  <c r="G131" i="1"/>
  <c r="F131" i="1"/>
  <c r="E131" i="1"/>
  <c r="D131" i="1"/>
  <c r="J130" i="1"/>
  <c r="I130" i="1"/>
  <c r="H130" i="1"/>
  <c r="G130" i="1"/>
  <c r="F130" i="1"/>
  <c r="E130" i="1"/>
  <c r="D130" i="1"/>
  <c r="J129" i="1"/>
  <c r="I129" i="1"/>
  <c r="H129" i="1"/>
  <c r="G129" i="1"/>
  <c r="F129" i="1"/>
  <c r="E129" i="1"/>
  <c r="D129" i="1"/>
  <c r="J128" i="1"/>
  <c r="I128" i="1"/>
  <c r="H128" i="1"/>
  <c r="G128" i="1"/>
  <c r="F128" i="1"/>
  <c r="E128" i="1"/>
  <c r="D128" i="1"/>
  <c r="J127" i="1"/>
  <c r="I127" i="1"/>
  <c r="H127" i="1"/>
  <c r="G127" i="1"/>
  <c r="F127" i="1"/>
  <c r="E127" i="1"/>
  <c r="J126" i="1"/>
  <c r="J121" i="1" s="1"/>
  <c r="I126" i="1"/>
  <c r="H126" i="1"/>
  <c r="G126" i="1"/>
  <c r="F126" i="1"/>
  <c r="E126" i="1"/>
  <c r="D126" i="1"/>
  <c r="J125" i="1"/>
  <c r="I125" i="1"/>
  <c r="I121" i="1" s="1"/>
  <c r="H125" i="1"/>
  <c r="G125" i="1"/>
  <c r="F125" i="1"/>
  <c r="E125" i="1"/>
  <c r="D125" i="1"/>
  <c r="J124" i="1"/>
  <c r="I124" i="1"/>
  <c r="H124" i="1"/>
  <c r="H122" i="1" s="1"/>
  <c r="G124" i="1"/>
  <c r="F124" i="1"/>
  <c r="E124" i="1"/>
  <c r="D124" i="1"/>
  <c r="J123" i="1"/>
  <c r="I123" i="1"/>
  <c r="H123" i="1"/>
  <c r="G123" i="1"/>
  <c r="G121" i="1" s="1"/>
  <c r="F123" i="1"/>
  <c r="E123" i="1"/>
  <c r="D123" i="1"/>
  <c r="J120" i="1"/>
  <c r="I120" i="1"/>
  <c r="H120" i="1"/>
  <c r="G120" i="1"/>
  <c r="F120" i="1"/>
  <c r="E120" i="1"/>
  <c r="D120" i="1"/>
  <c r="I119" i="1"/>
  <c r="H119" i="1"/>
  <c r="G119" i="1"/>
  <c r="F119" i="1"/>
  <c r="E119" i="1"/>
  <c r="D119" i="1"/>
  <c r="J118" i="1"/>
  <c r="H118" i="1"/>
  <c r="G118" i="1"/>
  <c r="F118" i="1"/>
  <c r="E118" i="1"/>
  <c r="D118" i="1"/>
  <c r="J117" i="1"/>
  <c r="I117" i="1"/>
  <c r="G117" i="1"/>
  <c r="F117" i="1"/>
  <c r="E117" i="1"/>
  <c r="D117" i="1"/>
  <c r="J116" i="1"/>
  <c r="I116" i="1"/>
  <c r="H116" i="1"/>
  <c r="F116" i="1"/>
  <c r="E116" i="1"/>
  <c r="D116" i="1"/>
  <c r="J115" i="1"/>
  <c r="I115" i="1"/>
  <c r="H115" i="1"/>
  <c r="G115" i="1"/>
  <c r="E115" i="1"/>
  <c r="D115" i="1"/>
  <c r="J114" i="1"/>
  <c r="I114" i="1"/>
  <c r="H114" i="1"/>
  <c r="G114" i="1"/>
  <c r="F114" i="1"/>
  <c r="D114" i="1"/>
  <c r="J113" i="1"/>
  <c r="I113" i="1"/>
  <c r="H113" i="1"/>
  <c r="G113" i="1"/>
  <c r="F113" i="1"/>
  <c r="E113" i="1"/>
  <c r="J112" i="1"/>
  <c r="I112" i="1"/>
  <c r="H112" i="1"/>
  <c r="G112" i="1"/>
  <c r="F112" i="1"/>
  <c r="E112" i="1"/>
  <c r="D112" i="1"/>
  <c r="I111" i="1"/>
  <c r="H111" i="1"/>
  <c r="G111" i="1"/>
  <c r="F111" i="1"/>
  <c r="E111" i="1"/>
  <c r="D111" i="1"/>
  <c r="J110" i="1"/>
  <c r="H110" i="1"/>
  <c r="G110" i="1"/>
  <c r="F110" i="1"/>
  <c r="E110" i="1"/>
  <c r="D110" i="1"/>
  <c r="J109" i="1"/>
  <c r="I109" i="1"/>
  <c r="G109" i="1"/>
  <c r="F109" i="1"/>
  <c r="E109" i="1"/>
  <c r="D109" i="1"/>
  <c r="J108" i="1"/>
  <c r="I108" i="1"/>
  <c r="H108" i="1"/>
  <c r="F108" i="1"/>
  <c r="E108" i="1"/>
  <c r="D108" i="1"/>
  <c r="J107" i="1"/>
  <c r="I107" i="1"/>
  <c r="H107" i="1"/>
  <c r="G107" i="1"/>
  <c r="E107" i="1"/>
  <c r="D107" i="1"/>
  <c r="J106" i="1"/>
  <c r="I106" i="1"/>
  <c r="H106" i="1"/>
  <c r="G106" i="1"/>
  <c r="F106" i="1"/>
  <c r="D106" i="1"/>
  <c r="J86" i="1"/>
  <c r="I86" i="1"/>
  <c r="H86" i="1"/>
  <c r="G86" i="1"/>
  <c r="F86" i="1"/>
  <c r="E86" i="1"/>
  <c r="I85" i="1"/>
  <c r="H85" i="1"/>
  <c r="G85" i="1"/>
  <c r="F85" i="1"/>
  <c r="E85" i="1"/>
  <c r="D85" i="1"/>
  <c r="H84" i="1"/>
  <c r="G84" i="1"/>
  <c r="F84" i="1"/>
  <c r="E84" i="1"/>
  <c r="D84" i="1"/>
  <c r="J83" i="1"/>
  <c r="G83" i="1"/>
  <c r="F83" i="1"/>
  <c r="E83" i="1"/>
  <c r="D83" i="1"/>
  <c r="J82" i="1"/>
  <c r="I82" i="1"/>
  <c r="F82" i="1"/>
  <c r="E82" i="1"/>
  <c r="D82" i="1"/>
  <c r="J81" i="1"/>
  <c r="I81" i="1"/>
  <c r="H81" i="1"/>
  <c r="E81" i="1"/>
  <c r="D81" i="1"/>
  <c r="J80" i="1"/>
  <c r="I80" i="1"/>
  <c r="H80" i="1"/>
  <c r="G80" i="1"/>
  <c r="D80" i="1"/>
  <c r="J79" i="1"/>
  <c r="I79" i="1"/>
  <c r="H79" i="1"/>
  <c r="G79" i="1"/>
  <c r="F79" i="1"/>
  <c r="J78" i="1"/>
  <c r="I78" i="1"/>
  <c r="H78" i="1"/>
  <c r="G78" i="1"/>
  <c r="F78" i="1"/>
  <c r="E78" i="1"/>
  <c r="I77" i="1"/>
  <c r="H77" i="1"/>
  <c r="G77" i="1"/>
  <c r="F77" i="1"/>
  <c r="E77" i="1"/>
  <c r="D77" i="1"/>
  <c r="H76" i="1"/>
  <c r="G76" i="1"/>
  <c r="F76" i="1"/>
  <c r="E76" i="1"/>
  <c r="D76" i="1"/>
  <c r="J75" i="1"/>
  <c r="G75" i="1"/>
  <c r="F75" i="1"/>
  <c r="E75" i="1"/>
  <c r="D75" i="1"/>
  <c r="J74" i="1"/>
  <c r="I74" i="1"/>
  <c r="F74" i="1"/>
  <c r="E74" i="1"/>
  <c r="D74" i="1"/>
  <c r="J73" i="1"/>
  <c r="I73" i="1"/>
  <c r="H73" i="1"/>
  <c r="E73" i="1"/>
  <c r="D73" i="1"/>
  <c r="J72" i="1"/>
  <c r="I72" i="1"/>
  <c r="H72" i="1"/>
  <c r="G72" i="1"/>
  <c r="D72" i="1"/>
  <c r="K27" i="10"/>
  <c r="L68" i="10"/>
  <c r="M28" i="10"/>
  <c r="M49" i="10"/>
  <c r="N30" i="10"/>
  <c r="O30" i="10"/>
  <c r="P111" i="10"/>
  <c r="K35" i="10"/>
  <c r="M116" i="10"/>
  <c r="N58" i="10"/>
  <c r="O38" i="10"/>
  <c r="P59" i="10"/>
  <c r="Q32" i="10"/>
  <c r="L109" i="10"/>
  <c r="N31" i="10"/>
  <c r="P73" i="10"/>
  <c r="Q74" i="10"/>
  <c r="L77" i="10"/>
  <c r="M38" i="10"/>
  <c r="N119" i="10"/>
  <c r="F20" i="10"/>
  <c r="J173" i="1"/>
  <c r="I173" i="1"/>
  <c r="H173" i="1"/>
  <c r="G173" i="1"/>
  <c r="F173" i="1"/>
  <c r="E173" i="1"/>
  <c r="J172" i="1"/>
  <c r="I172" i="1"/>
  <c r="H172" i="1"/>
  <c r="G172" i="1"/>
  <c r="F172" i="1"/>
  <c r="E172" i="1"/>
  <c r="J156" i="1"/>
  <c r="I156" i="1"/>
  <c r="H156" i="1"/>
  <c r="G156" i="1"/>
  <c r="F156" i="1"/>
  <c r="E156" i="1"/>
  <c r="J155" i="1"/>
  <c r="I155" i="1"/>
  <c r="H155" i="1"/>
  <c r="G155" i="1"/>
  <c r="F155" i="1"/>
  <c r="E155" i="1"/>
  <c r="J3" i="1"/>
  <c r="D3" i="1"/>
  <c r="L54" i="10"/>
  <c r="L90" i="10"/>
  <c r="O89" i="10"/>
  <c r="P87" i="10"/>
  <c r="L74" i="10"/>
  <c r="O73" i="10"/>
  <c r="N112" i="10"/>
  <c r="P70" i="10"/>
  <c r="O69" i="10"/>
  <c r="L58" i="10"/>
  <c r="K58" i="10"/>
  <c r="L57" i="10"/>
  <c r="N54" i="10"/>
  <c r="L50" i="10"/>
  <c r="L70" i="10"/>
  <c r="N88" i="10"/>
  <c r="M47" i="10"/>
  <c r="N46" i="10"/>
  <c r="P38" i="10"/>
  <c r="L38" i="10"/>
  <c r="N36" i="10"/>
  <c r="Q35" i="10"/>
  <c r="L34" i="10"/>
  <c r="M30" i="10"/>
  <c r="L30" i="10"/>
  <c r="N28" i="10"/>
  <c r="H3" i="1" l="1"/>
  <c r="I37" i="1"/>
  <c r="I54" i="1"/>
  <c r="I139" i="1"/>
  <c r="I207" i="1"/>
  <c r="I292" i="1"/>
  <c r="J20" i="1"/>
  <c r="D37" i="1"/>
  <c r="J139" i="1"/>
  <c r="J190" i="1"/>
  <c r="E54" i="1"/>
  <c r="F88" i="1"/>
  <c r="I190" i="1"/>
  <c r="G224" i="1"/>
  <c r="G88" i="1"/>
  <c r="D342" i="1"/>
  <c r="D207" i="1"/>
  <c r="H54" i="1"/>
  <c r="H207" i="1"/>
  <c r="H224" i="1"/>
  <c r="E224" i="1"/>
  <c r="H292" i="1"/>
  <c r="G309" i="1"/>
  <c r="J309" i="1"/>
  <c r="F325" i="1"/>
  <c r="I122" i="1"/>
  <c r="E121" i="1"/>
  <c r="P35" i="10"/>
  <c r="F122" i="1"/>
  <c r="G122" i="1"/>
  <c r="D121" i="1"/>
  <c r="P67" i="10"/>
  <c r="B120" i="10"/>
  <c r="F258" i="1"/>
  <c r="F257" i="1"/>
  <c r="G258" i="1"/>
  <c r="G257" i="1"/>
  <c r="E258" i="1"/>
  <c r="E257" i="1"/>
  <c r="H257" i="1"/>
  <c r="I257" i="1"/>
  <c r="J257" i="1"/>
  <c r="N55" i="10"/>
  <c r="F240" i="1"/>
  <c r="E240" i="1"/>
  <c r="E241" i="1"/>
  <c r="N107" i="10"/>
  <c r="K112" i="10"/>
  <c r="P77" i="10"/>
  <c r="P75" i="10"/>
  <c r="N93" i="10"/>
  <c r="L105" i="10"/>
  <c r="P69" i="10"/>
  <c r="M34" i="10"/>
  <c r="Q78" i="10"/>
  <c r="P55" i="10"/>
  <c r="G252" i="1"/>
  <c r="G241" i="1" s="1"/>
  <c r="F241" i="1"/>
  <c r="H240" i="1"/>
  <c r="I240" i="1"/>
  <c r="J240" i="1"/>
  <c r="D241" i="1"/>
  <c r="L53" i="10"/>
  <c r="E72" i="1"/>
  <c r="G74" i="1"/>
  <c r="I76" i="1"/>
  <c r="F81" i="1"/>
  <c r="F70" i="1" s="1"/>
  <c r="G82" i="1"/>
  <c r="I84" i="1"/>
  <c r="I71" i="1" s="1"/>
  <c r="J85" i="1"/>
  <c r="J70" i="1" s="1"/>
  <c r="K31" i="10"/>
  <c r="G73" i="1"/>
  <c r="E79" i="1"/>
  <c r="G81" i="1"/>
  <c r="I83" i="1"/>
  <c r="D86" i="1"/>
  <c r="D70" i="1" s="1"/>
  <c r="N74" i="10"/>
  <c r="N94" i="10"/>
  <c r="H70" i="1"/>
  <c r="E71" i="1"/>
  <c r="H105" i="1"/>
  <c r="N35" i="10"/>
  <c r="L93" i="10"/>
  <c r="L25" i="10"/>
  <c r="L113" i="10"/>
  <c r="E40" i="10"/>
  <c r="L33" i="10"/>
  <c r="C40" i="10"/>
  <c r="E106" i="1"/>
  <c r="G108" i="1"/>
  <c r="I110" i="1"/>
  <c r="J111" i="1"/>
  <c r="J104" i="1" s="1"/>
  <c r="D113" i="1"/>
  <c r="E114" i="1"/>
  <c r="F115" i="1"/>
  <c r="F104" i="1" s="1"/>
  <c r="G116" i="1"/>
  <c r="G105" i="1" s="1"/>
  <c r="I118" i="1"/>
  <c r="I105" i="1" s="1"/>
  <c r="J119" i="1"/>
  <c r="N27" i="10"/>
  <c r="L45" i="10"/>
  <c r="L85" i="10"/>
  <c r="H104" i="1"/>
  <c r="H275" i="1"/>
  <c r="D274" i="1"/>
  <c r="F275" i="1"/>
  <c r="E275" i="1"/>
  <c r="E274" i="1"/>
  <c r="H20" i="10"/>
  <c r="G275" i="1"/>
  <c r="H274" i="1"/>
  <c r="I274" i="1"/>
  <c r="J274" i="1"/>
  <c r="F274" i="1"/>
  <c r="G274" i="1"/>
  <c r="D20" i="1"/>
  <c r="E20" i="1"/>
  <c r="I20" i="1"/>
  <c r="J54" i="1"/>
  <c r="H88" i="1"/>
  <c r="I88" i="1"/>
  <c r="D139" i="1"/>
  <c r="I224" i="1"/>
  <c r="J292" i="1"/>
  <c r="G292" i="1"/>
  <c r="G325" i="1"/>
  <c r="I325" i="1"/>
  <c r="E342" i="1"/>
  <c r="F342" i="1"/>
  <c r="I342" i="1"/>
  <c r="J343" i="1"/>
  <c r="E3" i="1"/>
  <c r="F3" i="1"/>
  <c r="D190" i="1"/>
  <c r="E190" i="1"/>
  <c r="J224" i="1"/>
  <c r="I309" i="1"/>
  <c r="H326" i="1"/>
  <c r="F20" i="1"/>
  <c r="E37" i="1"/>
  <c r="F37" i="1"/>
  <c r="J37" i="1"/>
  <c r="D54" i="1"/>
  <c r="J88" i="1"/>
  <c r="E88" i="1"/>
  <c r="E139" i="1"/>
  <c r="H139" i="1"/>
  <c r="D292" i="1"/>
  <c r="J308" i="1"/>
  <c r="G342" i="1"/>
  <c r="G3" i="1"/>
  <c r="G20" i="1"/>
  <c r="F139" i="1"/>
  <c r="F190" i="1"/>
  <c r="E207" i="1"/>
  <c r="F207" i="1"/>
  <c r="D224" i="1"/>
  <c r="E292" i="1"/>
  <c r="D308" i="1"/>
  <c r="G308" i="1"/>
  <c r="H309" i="1"/>
  <c r="I308" i="1"/>
  <c r="J326" i="1"/>
  <c r="H342" i="1"/>
  <c r="J342" i="1"/>
  <c r="H20" i="1"/>
  <c r="G37" i="1"/>
  <c r="F54" i="1"/>
  <c r="G54" i="1"/>
  <c r="D88" i="1"/>
  <c r="G139" i="1"/>
  <c r="G190" i="1"/>
  <c r="F292" i="1"/>
  <c r="I343" i="1"/>
  <c r="I3" i="1"/>
  <c r="H37" i="1"/>
  <c r="H190" i="1"/>
  <c r="G207" i="1"/>
  <c r="J207" i="1"/>
  <c r="F224" i="1"/>
  <c r="E308" i="1"/>
  <c r="D325" i="1"/>
  <c r="E325" i="1"/>
  <c r="H325" i="1"/>
  <c r="I326" i="1"/>
  <c r="J325" i="1"/>
  <c r="F308" i="1"/>
  <c r="H308" i="1"/>
  <c r="D343" i="1"/>
  <c r="D258" i="1"/>
  <c r="D257" i="1"/>
  <c r="D240" i="1"/>
  <c r="H121" i="1"/>
  <c r="F121" i="1"/>
  <c r="D104" i="1"/>
  <c r="E70" i="1"/>
  <c r="F71" i="1"/>
  <c r="Q114" i="10"/>
  <c r="N39" i="10"/>
  <c r="L49" i="10"/>
  <c r="Q34" i="10"/>
  <c r="P53" i="10"/>
  <c r="L117" i="10"/>
  <c r="N99" i="10"/>
  <c r="P51" i="10"/>
  <c r="M76" i="10"/>
  <c r="P39" i="10"/>
  <c r="L47" i="10"/>
  <c r="M88" i="10"/>
  <c r="N69" i="10"/>
  <c r="P99" i="10"/>
  <c r="P31" i="10"/>
  <c r="L67" i="10"/>
  <c r="L55" i="10"/>
  <c r="P79" i="10"/>
  <c r="N90" i="10"/>
  <c r="P92" i="10"/>
  <c r="L96" i="10"/>
  <c r="N98" i="10"/>
  <c r="P91" i="10"/>
  <c r="M96" i="10"/>
  <c r="N97" i="10"/>
  <c r="N29" i="10"/>
  <c r="M36" i="10"/>
  <c r="Q65" i="10"/>
  <c r="P119" i="10"/>
  <c r="L106" i="10"/>
  <c r="N118" i="10"/>
  <c r="G20" i="10"/>
  <c r="M46" i="10"/>
  <c r="N32" i="10"/>
  <c r="P85" i="10"/>
  <c r="L51" i="10"/>
  <c r="L69" i="10"/>
  <c r="O85" i="10"/>
  <c r="N106" i="10"/>
  <c r="L29" i="10"/>
  <c r="H60" i="10"/>
  <c r="K119" i="10"/>
  <c r="N66" i="10"/>
  <c r="N86" i="10"/>
  <c r="P90" i="10"/>
  <c r="O26" i="10"/>
  <c r="N111" i="10"/>
  <c r="K33" i="10"/>
  <c r="N115" i="10"/>
  <c r="N57" i="10"/>
  <c r="K66" i="10"/>
  <c r="N70" i="10"/>
  <c r="Q72" i="10"/>
  <c r="P74" i="10"/>
  <c r="N89" i="10"/>
  <c r="B20" i="10"/>
  <c r="P26" i="10"/>
  <c r="O27" i="10"/>
  <c r="M108" i="10"/>
  <c r="P29" i="10"/>
  <c r="O31" i="10"/>
  <c r="M72" i="10"/>
  <c r="P33" i="10"/>
  <c r="O35" i="10"/>
  <c r="M56" i="10"/>
  <c r="P37" i="10"/>
  <c r="O39" i="10"/>
  <c r="B60" i="10"/>
  <c r="Q26" i="10"/>
  <c r="O109" i="10"/>
  <c r="L52" i="10"/>
  <c r="O97" i="10"/>
  <c r="L107" i="10"/>
  <c r="P71" i="10"/>
  <c r="O75" i="10"/>
  <c r="P94" i="10"/>
  <c r="P98" i="10"/>
  <c r="N113" i="10"/>
  <c r="N117" i="10"/>
  <c r="P57" i="10"/>
  <c r="N110" i="10"/>
  <c r="O65" i="10"/>
  <c r="P27" i="10"/>
  <c r="O34" i="10"/>
  <c r="P113" i="10"/>
  <c r="L86" i="10"/>
  <c r="M95" i="10"/>
  <c r="P107" i="10"/>
  <c r="L37" i="10"/>
  <c r="K111" i="10"/>
  <c r="N52" i="10"/>
  <c r="K29" i="10"/>
  <c r="Q70" i="10"/>
  <c r="N33" i="10"/>
  <c r="K37" i="10"/>
  <c r="N37" i="10"/>
  <c r="L91" i="10"/>
  <c r="N96" i="10"/>
  <c r="L99" i="10"/>
  <c r="N71" i="10"/>
  <c r="L73" i="10"/>
  <c r="N116" i="10"/>
  <c r="M79" i="10"/>
  <c r="L108" i="10"/>
  <c r="M111" i="10"/>
  <c r="C20" i="10"/>
  <c r="E20" i="10"/>
  <c r="K25" i="10"/>
  <c r="N25" i="10"/>
  <c r="Q66" i="10"/>
  <c r="N68" i="10"/>
  <c r="N72" i="10"/>
  <c r="K34" i="10"/>
  <c r="N76" i="10"/>
  <c r="P88" i="10"/>
  <c r="P89" i="10"/>
  <c r="M92" i="10"/>
  <c r="M53" i="10"/>
  <c r="Q54" i="10"/>
  <c r="P97" i="10"/>
  <c r="L111" i="10"/>
  <c r="L88" i="10"/>
  <c r="Q95" i="10"/>
  <c r="Q97" i="10"/>
  <c r="P93" i="10"/>
  <c r="L75" i="10"/>
  <c r="L79" i="10"/>
  <c r="N50" i="10"/>
  <c r="L36" i="10"/>
  <c r="Q67" i="10"/>
  <c r="L76" i="10"/>
  <c r="P65" i="10"/>
  <c r="P30" i="10"/>
  <c r="P54" i="10"/>
  <c r="G40" i="10"/>
  <c r="L119" i="10"/>
  <c r="N87" i="10"/>
  <c r="N67" i="10"/>
  <c r="N79" i="10"/>
  <c r="D20" i="10"/>
  <c r="P25" i="10"/>
  <c r="M26" i="10"/>
  <c r="O28" i="10"/>
  <c r="L110" i="10"/>
  <c r="Q31" i="10"/>
  <c r="O32" i="10"/>
  <c r="N53" i="10"/>
  <c r="L114" i="10"/>
  <c r="N34" i="10"/>
  <c r="O36" i="10"/>
  <c r="L118" i="10"/>
  <c r="N38" i="10"/>
  <c r="K47" i="10"/>
  <c r="N47" i="10"/>
  <c r="Q48" i="10"/>
  <c r="Q49" i="10"/>
  <c r="P50" i="10"/>
  <c r="O51" i="10"/>
  <c r="N92" i="10"/>
  <c r="M54" i="10"/>
  <c r="K55" i="10"/>
  <c r="Q56" i="10"/>
  <c r="P58" i="10"/>
  <c r="O59" i="10"/>
  <c r="E80" i="10"/>
  <c r="N108" i="10"/>
  <c r="L72" i="10"/>
  <c r="P117" i="10"/>
  <c r="P78" i="10"/>
  <c r="P95" i="10"/>
  <c r="L97" i="10"/>
  <c r="H120" i="10"/>
  <c r="P106" i="10"/>
  <c r="P110" i="10"/>
  <c r="P114" i="10"/>
  <c r="P118" i="10"/>
  <c r="P49" i="10"/>
  <c r="N78" i="10"/>
  <c r="N105" i="10"/>
  <c r="Q53" i="10"/>
  <c r="L115" i="10"/>
  <c r="K28" i="10"/>
  <c r="M57" i="10"/>
  <c r="L65" i="10"/>
  <c r="L89" i="10"/>
  <c r="G60" i="10"/>
  <c r="L27" i="10"/>
  <c r="P68" i="10"/>
  <c r="O49" i="10"/>
  <c r="Q30" i="10"/>
  <c r="L31" i="10"/>
  <c r="P72" i="10"/>
  <c r="O33" i="10"/>
  <c r="L35" i="10"/>
  <c r="P36" i="10"/>
  <c r="O57" i="10"/>
  <c r="Q38" i="10"/>
  <c r="L39" i="10"/>
  <c r="L66" i="10"/>
  <c r="L87" i="10"/>
  <c r="N48" i="10"/>
  <c r="Q110" i="10"/>
  <c r="O113" i="10"/>
  <c r="L95" i="10"/>
  <c r="N56" i="10"/>
  <c r="Q118" i="10"/>
  <c r="F80" i="10"/>
  <c r="P109" i="10"/>
  <c r="Q79" i="10"/>
  <c r="P86" i="10"/>
  <c r="O87" i="10"/>
  <c r="L92" i="10"/>
  <c r="K96" i="10"/>
  <c r="G71" i="1"/>
  <c r="J122" i="1"/>
  <c r="H258" i="1"/>
  <c r="I275" i="1"/>
  <c r="D326" i="1"/>
  <c r="E343" i="1"/>
  <c r="H71" i="1"/>
  <c r="J105" i="1"/>
  <c r="H241" i="1"/>
  <c r="I258" i="1"/>
  <c r="J275" i="1"/>
  <c r="D309" i="1"/>
  <c r="E326" i="1"/>
  <c r="F343" i="1"/>
  <c r="D122" i="1"/>
  <c r="I241" i="1"/>
  <c r="J258" i="1"/>
  <c r="E309" i="1"/>
  <c r="F326" i="1"/>
  <c r="G343" i="1"/>
  <c r="J71" i="1"/>
  <c r="D105" i="1"/>
  <c r="E122" i="1"/>
  <c r="J241" i="1"/>
  <c r="D275" i="1"/>
  <c r="F309" i="1"/>
  <c r="G326" i="1"/>
  <c r="H343" i="1"/>
  <c r="K89" i="10"/>
  <c r="D60" i="10"/>
  <c r="M45" i="10"/>
  <c r="O47" i="10"/>
  <c r="F60" i="10"/>
  <c r="P66" i="10"/>
  <c r="O68" i="10"/>
  <c r="M69" i="10"/>
  <c r="K70" i="10"/>
  <c r="K77" i="10"/>
  <c r="N77" i="10"/>
  <c r="C80" i="10"/>
  <c r="D100" i="10"/>
  <c r="M85" i="10"/>
  <c r="K86" i="10"/>
  <c r="O91" i="10"/>
  <c r="K93" i="10"/>
  <c r="P96" i="10"/>
  <c r="M99" i="10"/>
  <c r="B100" i="10"/>
  <c r="O105" i="10"/>
  <c r="O107" i="10"/>
  <c r="K109" i="10"/>
  <c r="N109" i="10"/>
  <c r="P112" i="10"/>
  <c r="M115" i="10"/>
  <c r="K116" i="10"/>
  <c r="Q117" i="10"/>
  <c r="O118" i="10"/>
  <c r="O98" i="10"/>
  <c r="L116" i="10"/>
  <c r="O54" i="10"/>
  <c r="M25" i="10"/>
  <c r="O25" i="10"/>
  <c r="M27" i="10"/>
  <c r="M29" i="10"/>
  <c r="O29" i="10"/>
  <c r="M31" i="10"/>
  <c r="M33" i="10"/>
  <c r="M35" i="10"/>
  <c r="M37" i="10"/>
  <c r="O37" i="10"/>
  <c r="M39" i="10"/>
  <c r="E60" i="10"/>
  <c r="P45" i="10"/>
  <c r="L46" i="10"/>
  <c r="L48" i="10"/>
  <c r="Q51" i="10"/>
  <c r="K53" i="10"/>
  <c r="M55" i="10"/>
  <c r="L56" i="10"/>
  <c r="Q59" i="10"/>
  <c r="M66" i="10"/>
  <c r="K67" i="10"/>
  <c r="Q71" i="10"/>
  <c r="O72" i="10"/>
  <c r="M73" i="10"/>
  <c r="K74" i="10"/>
  <c r="O77" i="10"/>
  <c r="L78" i="10"/>
  <c r="O79" i="10"/>
  <c r="E100" i="10"/>
  <c r="Q87" i="10"/>
  <c r="O88" i="10"/>
  <c r="M89" i="10"/>
  <c r="K90" i="10"/>
  <c r="O93" i="10"/>
  <c r="L94" i="10"/>
  <c r="O95" i="10"/>
  <c r="K97" i="10"/>
  <c r="C100" i="10"/>
  <c r="D120" i="10"/>
  <c r="M105" i="10"/>
  <c r="K106" i="10"/>
  <c r="O111" i="10"/>
  <c r="K113" i="10"/>
  <c r="P116" i="10"/>
  <c r="M119" i="10"/>
  <c r="P52" i="10"/>
  <c r="L26" i="10"/>
  <c r="L28" i="10"/>
  <c r="L32" i="10"/>
  <c r="K46" i="10"/>
  <c r="K48" i="10"/>
  <c r="M48" i="10"/>
  <c r="M50" i="10"/>
  <c r="Q50" i="10"/>
  <c r="K51" i="10"/>
  <c r="O52" i="10"/>
  <c r="O53" i="10"/>
  <c r="K56" i="10"/>
  <c r="M58" i="10"/>
  <c r="Q58" i="10"/>
  <c r="K59" i="10"/>
  <c r="P105" i="10"/>
  <c r="Q68" i="10"/>
  <c r="M70" i="10"/>
  <c r="K71" i="10"/>
  <c r="Q75" i="10"/>
  <c r="O76" i="10"/>
  <c r="M77" i="10"/>
  <c r="K78" i="10"/>
  <c r="H80" i="10"/>
  <c r="M86" i="10"/>
  <c r="Q86" i="10"/>
  <c r="K87" i="10"/>
  <c r="Q91" i="10"/>
  <c r="O92" i="10"/>
  <c r="M93" i="10"/>
  <c r="K94" i="10"/>
  <c r="L98" i="10"/>
  <c r="O99" i="10"/>
  <c r="F100" i="10"/>
  <c r="E120" i="10"/>
  <c r="Q107" i="10"/>
  <c r="O108" i="10"/>
  <c r="M109" i="10"/>
  <c r="K110" i="10"/>
  <c r="O115" i="10"/>
  <c r="K117" i="10"/>
  <c r="C120" i="10"/>
  <c r="D80" i="10"/>
  <c r="M65" i="10"/>
  <c r="K73" i="10"/>
  <c r="Q113" i="10"/>
  <c r="K26" i="10"/>
  <c r="K30" i="10"/>
  <c r="K32" i="10"/>
  <c r="M32" i="10"/>
  <c r="K36" i="10"/>
  <c r="K38" i="10"/>
  <c r="B40" i="10"/>
  <c r="O55" i="10"/>
  <c r="Q57" i="10"/>
  <c r="O66" i="10"/>
  <c r="M74" i="10"/>
  <c r="K75" i="10"/>
  <c r="Q88" i="10"/>
  <c r="M90" i="10"/>
  <c r="Q90" i="10"/>
  <c r="K91" i="10"/>
  <c r="O96" i="10"/>
  <c r="M97" i="10"/>
  <c r="K98" i="10"/>
  <c r="H100" i="10"/>
  <c r="M106" i="10"/>
  <c r="Q106" i="10"/>
  <c r="K107" i="10"/>
  <c r="Q111" i="10"/>
  <c r="O112" i="10"/>
  <c r="M113" i="10"/>
  <c r="K114" i="10"/>
  <c r="O117" i="10"/>
  <c r="O119" i="10"/>
  <c r="F120" i="10"/>
  <c r="B80" i="10"/>
  <c r="Q45" i="10"/>
  <c r="P46" i="10"/>
  <c r="Q47" i="10"/>
  <c r="P48" i="10"/>
  <c r="O50" i="10"/>
  <c r="N51" i="10"/>
  <c r="Q52" i="10"/>
  <c r="K54" i="10"/>
  <c r="P56" i="10"/>
  <c r="O58" i="10"/>
  <c r="N59" i="10"/>
  <c r="G80" i="10"/>
  <c r="M67" i="10"/>
  <c r="K68" i="10"/>
  <c r="M68" i="10"/>
  <c r="Q69" i="10"/>
  <c r="O70" i="10"/>
  <c r="N75" i="10"/>
  <c r="Q76" i="10"/>
  <c r="M78" i="10"/>
  <c r="K79" i="10"/>
  <c r="Q85" i="10"/>
  <c r="O86" i="10"/>
  <c r="N91" i="10"/>
  <c r="Q92" i="10"/>
  <c r="M94" i="10"/>
  <c r="Q94" i="10"/>
  <c r="K95" i="10"/>
  <c r="Q99" i="10"/>
  <c r="Q108" i="10"/>
  <c r="M110" i="10"/>
  <c r="Q115" i="10"/>
  <c r="O116" i="10"/>
  <c r="M117" i="10"/>
  <c r="K118" i="10"/>
  <c r="C60" i="10"/>
  <c r="P108" i="10"/>
  <c r="Q25" i="10"/>
  <c r="Q27" i="10"/>
  <c r="P28" i="10"/>
  <c r="Q29" i="10"/>
  <c r="P32" i="10"/>
  <c r="Q33" i="10"/>
  <c r="P34" i="10"/>
  <c r="Q37" i="10"/>
  <c r="Q39" i="10"/>
  <c r="D40" i="10"/>
  <c r="K45" i="10"/>
  <c r="Q46" i="10"/>
  <c r="K49" i="10"/>
  <c r="N49" i="10"/>
  <c r="M51" i="10"/>
  <c r="Q55" i="10"/>
  <c r="K57" i="10"/>
  <c r="M59" i="10"/>
  <c r="K65" i="10"/>
  <c r="N65" i="10"/>
  <c r="M71" i="10"/>
  <c r="K72" i="10"/>
  <c r="Q73" i="10"/>
  <c r="O74" i="10"/>
  <c r="G100" i="10"/>
  <c r="M87" i="10"/>
  <c r="K88" i="10"/>
  <c r="Q89" i="10"/>
  <c r="O90" i="10"/>
  <c r="N95" i="10"/>
  <c r="Q96" i="10"/>
  <c r="M98" i="10"/>
  <c r="Q98" i="10"/>
  <c r="K99" i="10"/>
  <c r="Q105" i="10"/>
  <c r="O106" i="10"/>
  <c r="Q112" i="10"/>
  <c r="M114" i="10"/>
  <c r="K115" i="10"/>
  <c r="Q119" i="10"/>
  <c r="O71" i="10"/>
  <c r="K105" i="10"/>
  <c r="O114" i="10"/>
  <c r="Q28" i="10"/>
  <c r="Q36" i="10"/>
  <c r="F40" i="10"/>
  <c r="O46" i="10"/>
  <c r="O48" i="10"/>
  <c r="K52" i="10"/>
  <c r="M52" i="10"/>
  <c r="O56" i="10"/>
  <c r="O67" i="10"/>
  <c r="K69" i="10"/>
  <c r="M75" i="10"/>
  <c r="K76" i="10"/>
  <c r="Q77" i="10"/>
  <c r="O78" i="10"/>
  <c r="K85" i="10"/>
  <c r="N85" i="10"/>
  <c r="M91" i="10"/>
  <c r="K92" i="10"/>
  <c r="Q93" i="10"/>
  <c r="O94" i="10"/>
  <c r="G120" i="10"/>
  <c r="M107" i="10"/>
  <c r="K108" i="10"/>
  <c r="Q109" i="10"/>
  <c r="O110" i="10"/>
  <c r="Q116" i="10"/>
  <c r="M118" i="10"/>
  <c r="G240" i="1" l="1"/>
  <c r="I70" i="1"/>
  <c r="D71" i="1"/>
  <c r="G70" i="1"/>
  <c r="I104" i="1"/>
  <c r="L60" i="10"/>
  <c r="E104" i="1"/>
  <c r="E105" i="1"/>
  <c r="G104" i="1"/>
  <c r="F105" i="1"/>
  <c r="O80" i="10"/>
  <c r="Q120" i="10"/>
  <c r="Q60" i="10"/>
  <c r="P80" i="10"/>
  <c r="M120" i="10"/>
  <c r="O60" i="10"/>
  <c r="K80" i="10"/>
  <c r="K60" i="10"/>
  <c r="N80" i="10"/>
  <c r="N100" i="10"/>
  <c r="Q100" i="10"/>
  <c r="L40" i="10"/>
  <c r="M100" i="10"/>
  <c r="N60" i="10"/>
  <c r="N40" i="10"/>
  <c r="M40" i="10"/>
  <c r="O120" i="10"/>
  <c r="P40" i="10"/>
  <c r="P100" i="10"/>
  <c r="M80" i="10"/>
  <c r="N120" i="10"/>
  <c r="K40" i="10"/>
  <c r="K100" i="10"/>
  <c r="L80" i="10"/>
  <c r="P120" i="10"/>
  <c r="L120" i="10"/>
  <c r="O100" i="10"/>
  <c r="M60" i="10"/>
  <c r="P60" i="10"/>
  <c r="O40" i="10"/>
  <c r="Q80" i="10"/>
  <c r="L100" i="10"/>
  <c r="K120" i="10"/>
  <c r="Q40" i="10"/>
  <c r="H65" i="16" l="1"/>
  <c r="H64" i="16"/>
  <c r="H63" i="16"/>
  <c r="H61" i="16"/>
  <c r="H60" i="16"/>
  <c r="H59" i="16"/>
  <c r="H57" i="16"/>
  <c r="H56" i="16"/>
  <c r="H55" i="16"/>
  <c r="H53" i="16"/>
  <c r="H52" i="16"/>
  <c r="H51" i="16"/>
  <c r="H49" i="16"/>
  <c r="H48" i="16"/>
  <c r="H47" i="16"/>
  <c r="H45" i="16"/>
  <c r="H44" i="16"/>
  <c r="H43" i="16"/>
  <c r="H41" i="16"/>
  <c r="H40" i="16"/>
  <c r="H39" i="16"/>
  <c r="H37" i="16"/>
  <c r="H36" i="16"/>
  <c r="H35" i="16"/>
  <c r="H33" i="16"/>
  <c r="H32" i="16"/>
  <c r="H31" i="16"/>
  <c r="H29" i="16"/>
  <c r="H28" i="16"/>
  <c r="H27" i="16"/>
  <c r="H25" i="16"/>
  <c r="H24" i="16"/>
  <c r="H23" i="16"/>
  <c r="H21" i="16"/>
  <c r="H20" i="16"/>
  <c r="H19" i="16"/>
  <c r="H17" i="16"/>
  <c r="H16" i="16"/>
  <c r="H15" i="16"/>
  <c r="H13" i="16"/>
  <c r="H12" i="16"/>
  <c r="H11" i="16"/>
  <c r="H9" i="16"/>
  <c r="H8" i="16"/>
  <c r="H7" i="16"/>
  <c r="H5" i="16"/>
  <c r="H4" i="16"/>
  <c r="H3" i="16"/>
  <c r="N65" i="16"/>
  <c r="M65" i="16"/>
  <c r="L65" i="16"/>
  <c r="K65" i="16"/>
  <c r="J65" i="16"/>
  <c r="I65" i="16"/>
  <c r="N61" i="16"/>
  <c r="M61" i="16"/>
  <c r="L61" i="16"/>
  <c r="K61" i="16"/>
  <c r="J61" i="16"/>
  <c r="I61" i="16"/>
  <c r="N57" i="16"/>
  <c r="M57" i="16"/>
  <c r="L57" i="16"/>
  <c r="K57" i="16"/>
  <c r="J57" i="16"/>
  <c r="I57" i="16"/>
  <c r="N53" i="16"/>
  <c r="M53" i="16"/>
  <c r="L53" i="16"/>
  <c r="K53" i="16"/>
  <c r="J53" i="16"/>
  <c r="I53" i="16"/>
  <c r="N49" i="16"/>
  <c r="M49" i="16"/>
  <c r="L49" i="16"/>
  <c r="K49" i="16"/>
  <c r="J49" i="16"/>
  <c r="I49" i="16"/>
  <c r="N45" i="16"/>
  <c r="M45" i="16"/>
  <c r="L45" i="16"/>
  <c r="K45" i="16"/>
  <c r="J45" i="16"/>
  <c r="I45" i="16"/>
  <c r="N41" i="16"/>
  <c r="M41" i="16"/>
  <c r="L41" i="16"/>
  <c r="K41" i="16"/>
  <c r="J41" i="16"/>
  <c r="I41" i="16"/>
  <c r="N37" i="16"/>
  <c r="M37" i="16"/>
  <c r="L37" i="16"/>
  <c r="K37" i="16"/>
  <c r="J37" i="16"/>
  <c r="I37" i="16"/>
  <c r="N33" i="16"/>
  <c r="M33" i="16"/>
  <c r="L33" i="16"/>
  <c r="K33" i="16"/>
  <c r="J33" i="16"/>
  <c r="I33" i="16"/>
  <c r="N29" i="16"/>
  <c r="M29" i="16"/>
  <c r="L29" i="16"/>
  <c r="K29" i="16"/>
  <c r="J29" i="16"/>
  <c r="I29" i="16"/>
  <c r="N25" i="16"/>
  <c r="M25" i="16"/>
  <c r="L25" i="16"/>
  <c r="K25" i="16"/>
  <c r="J25" i="16"/>
  <c r="I25" i="16"/>
  <c r="N21" i="16"/>
  <c r="M21" i="16"/>
  <c r="L21" i="16"/>
  <c r="K21" i="16"/>
  <c r="J21" i="16"/>
  <c r="I21" i="16"/>
  <c r="N17" i="16"/>
  <c r="M17" i="16"/>
  <c r="L17" i="16"/>
  <c r="K17" i="16"/>
  <c r="J17" i="16"/>
  <c r="I17" i="16"/>
  <c r="N13" i="16"/>
  <c r="M13" i="16"/>
  <c r="L13" i="16"/>
  <c r="K13" i="16"/>
  <c r="J13" i="16"/>
  <c r="I13" i="16"/>
  <c r="N9" i="16"/>
  <c r="M9" i="16"/>
  <c r="L9" i="16"/>
  <c r="K9" i="16"/>
  <c r="J9" i="16"/>
  <c r="I9" i="16"/>
  <c r="N64" i="16"/>
  <c r="M64" i="16"/>
  <c r="L64" i="16"/>
  <c r="K64" i="16"/>
  <c r="J64" i="16"/>
  <c r="I64" i="16"/>
  <c r="N60" i="16"/>
  <c r="M60" i="16"/>
  <c r="L60" i="16"/>
  <c r="K60" i="16"/>
  <c r="J60" i="16"/>
  <c r="I60" i="16"/>
  <c r="N56" i="16"/>
  <c r="M56" i="16"/>
  <c r="L56" i="16"/>
  <c r="K56" i="16"/>
  <c r="J56" i="16"/>
  <c r="I56" i="16"/>
  <c r="N52" i="16"/>
  <c r="M52" i="16"/>
  <c r="L52" i="16"/>
  <c r="K52" i="16"/>
  <c r="J52" i="16"/>
  <c r="I52" i="16"/>
  <c r="N48" i="16"/>
  <c r="M48" i="16"/>
  <c r="L48" i="16"/>
  <c r="K48" i="16"/>
  <c r="J48" i="16"/>
  <c r="I48" i="16"/>
  <c r="N44" i="16"/>
  <c r="M44" i="16"/>
  <c r="L44" i="16"/>
  <c r="K44" i="16"/>
  <c r="J44" i="16"/>
  <c r="I44" i="16"/>
  <c r="N40" i="16"/>
  <c r="M40" i="16"/>
  <c r="L40" i="16"/>
  <c r="K40" i="16"/>
  <c r="J40" i="16"/>
  <c r="I40" i="16"/>
  <c r="N36" i="16"/>
  <c r="M36" i="16"/>
  <c r="L36" i="16"/>
  <c r="K36" i="16"/>
  <c r="J36" i="16"/>
  <c r="I36" i="16"/>
  <c r="N32" i="16"/>
  <c r="M32" i="16"/>
  <c r="L32" i="16"/>
  <c r="K32" i="16"/>
  <c r="J32" i="16"/>
  <c r="I32" i="16"/>
  <c r="N28" i="16"/>
  <c r="M28" i="16"/>
  <c r="L28" i="16"/>
  <c r="K28" i="16"/>
  <c r="J28" i="16"/>
  <c r="I28" i="16"/>
  <c r="N24" i="16"/>
  <c r="M24" i="16"/>
  <c r="L24" i="16"/>
  <c r="K24" i="16"/>
  <c r="J24" i="16"/>
  <c r="I24" i="16"/>
  <c r="N20" i="16"/>
  <c r="M20" i="16"/>
  <c r="L20" i="16"/>
  <c r="K20" i="16"/>
  <c r="J20" i="16"/>
  <c r="I20" i="16"/>
  <c r="N16" i="16"/>
  <c r="M16" i="16"/>
  <c r="L16" i="16"/>
  <c r="K16" i="16"/>
  <c r="J16" i="16"/>
  <c r="I16" i="16"/>
  <c r="N12" i="16"/>
  <c r="M12" i="16"/>
  <c r="L12" i="16"/>
  <c r="K12" i="16"/>
  <c r="J12" i="16"/>
  <c r="I12" i="16"/>
  <c r="N8" i="16"/>
  <c r="M8" i="16"/>
  <c r="L8" i="16"/>
  <c r="K8" i="16"/>
  <c r="J8" i="16"/>
  <c r="I8" i="16"/>
  <c r="N63" i="16"/>
  <c r="M63" i="16"/>
  <c r="L63" i="16"/>
  <c r="K63" i="16"/>
  <c r="J63" i="16"/>
  <c r="I63" i="16"/>
  <c r="N59" i="16"/>
  <c r="M59" i="16"/>
  <c r="L59" i="16"/>
  <c r="K59" i="16"/>
  <c r="J59" i="16"/>
  <c r="I59" i="16"/>
  <c r="N55" i="16"/>
  <c r="M55" i="16"/>
  <c r="L55" i="16"/>
  <c r="K55" i="16"/>
  <c r="J55" i="16"/>
  <c r="I55" i="16"/>
  <c r="N51" i="16"/>
  <c r="M51" i="16"/>
  <c r="L51" i="16"/>
  <c r="K51" i="16"/>
  <c r="J51" i="16"/>
  <c r="I51" i="16"/>
  <c r="N47" i="16"/>
  <c r="M47" i="16"/>
  <c r="L47" i="16"/>
  <c r="K47" i="16"/>
  <c r="J47" i="16"/>
  <c r="I47" i="16"/>
  <c r="N43" i="16"/>
  <c r="M43" i="16"/>
  <c r="L43" i="16"/>
  <c r="K43" i="16"/>
  <c r="J43" i="16"/>
  <c r="I43" i="16"/>
  <c r="N39" i="16"/>
  <c r="M39" i="16"/>
  <c r="L39" i="16"/>
  <c r="K39" i="16"/>
  <c r="J39" i="16"/>
  <c r="I39" i="16"/>
  <c r="N35" i="16"/>
  <c r="M35" i="16"/>
  <c r="L35" i="16"/>
  <c r="K35" i="16"/>
  <c r="J35" i="16"/>
  <c r="I35" i="16"/>
  <c r="N31" i="16"/>
  <c r="M31" i="16"/>
  <c r="L31" i="16"/>
  <c r="K31" i="16"/>
  <c r="J31" i="16"/>
  <c r="I31" i="16"/>
  <c r="N27" i="16"/>
  <c r="M27" i="16"/>
  <c r="L27" i="16"/>
  <c r="K27" i="16"/>
  <c r="J27" i="16"/>
  <c r="I27" i="16"/>
  <c r="N23" i="16"/>
  <c r="M23" i="16"/>
  <c r="L23" i="16"/>
  <c r="K23" i="16"/>
  <c r="J23" i="16"/>
  <c r="I23" i="16"/>
  <c r="N19" i="16"/>
  <c r="M19" i="16"/>
  <c r="L19" i="16"/>
  <c r="K19" i="16"/>
  <c r="J19" i="16"/>
  <c r="I19" i="16"/>
  <c r="N15" i="16"/>
  <c r="M15" i="16"/>
  <c r="L15" i="16"/>
  <c r="K15" i="16"/>
  <c r="J15" i="16"/>
  <c r="I15" i="16"/>
  <c r="N11" i="16"/>
  <c r="M11" i="16"/>
  <c r="L11" i="16"/>
  <c r="K11" i="16"/>
  <c r="J11" i="16"/>
  <c r="I11" i="16"/>
  <c r="N7" i="16"/>
  <c r="M7" i="16"/>
  <c r="L7" i="16"/>
  <c r="K7" i="16"/>
  <c r="J7" i="16"/>
  <c r="I7" i="16"/>
  <c r="H62" i="16"/>
  <c r="G62" i="16"/>
  <c r="F62" i="16"/>
  <c r="E62" i="16"/>
  <c r="D62" i="16"/>
  <c r="C62" i="16"/>
  <c r="H58" i="16"/>
  <c r="G58" i="16"/>
  <c r="F58" i="16"/>
  <c r="E58" i="16"/>
  <c r="D58" i="16"/>
  <c r="C58" i="16"/>
  <c r="H54" i="16"/>
  <c r="G54" i="16"/>
  <c r="F54" i="16"/>
  <c r="E54" i="16"/>
  <c r="D54" i="16"/>
  <c r="C54" i="16"/>
  <c r="H50" i="16"/>
  <c r="G50" i="16"/>
  <c r="F50" i="16"/>
  <c r="E50" i="16"/>
  <c r="D50" i="16"/>
  <c r="C50" i="16"/>
  <c r="H46" i="16"/>
  <c r="G46" i="16"/>
  <c r="F46" i="16"/>
  <c r="E46" i="16"/>
  <c r="D46" i="16"/>
  <c r="C46" i="16"/>
  <c r="H42" i="16"/>
  <c r="G42" i="16"/>
  <c r="F42" i="16"/>
  <c r="E42" i="16"/>
  <c r="D42" i="16"/>
  <c r="C42" i="16"/>
  <c r="H38" i="16"/>
  <c r="G38" i="16"/>
  <c r="F38" i="16"/>
  <c r="E38" i="16"/>
  <c r="D38" i="16"/>
  <c r="C38" i="16"/>
  <c r="H34" i="16"/>
  <c r="G34" i="16"/>
  <c r="F34" i="16"/>
  <c r="E34" i="16"/>
  <c r="D34" i="16"/>
  <c r="C34" i="16"/>
  <c r="H30" i="16"/>
  <c r="G30" i="16"/>
  <c r="F30" i="16"/>
  <c r="E30" i="16"/>
  <c r="D30" i="16"/>
  <c r="C30" i="16"/>
  <c r="H26" i="16"/>
  <c r="G26" i="16"/>
  <c r="F26" i="16"/>
  <c r="E26" i="16"/>
  <c r="D26" i="16"/>
  <c r="C26" i="16"/>
  <c r="H22" i="16"/>
  <c r="G22" i="16"/>
  <c r="F22" i="16"/>
  <c r="E22" i="16"/>
  <c r="D22" i="16"/>
  <c r="C22" i="16"/>
  <c r="H18" i="16"/>
  <c r="G18" i="16"/>
  <c r="F18" i="16"/>
  <c r="E18" i="16"/>
  <c r="D18" i="16"/>
  <c r="C18" i="16"/>
  <c r="H14" i="16"/>
  <c r="G14" i="16"/>
  <c r="F14" i="16"/>
  <c r="E14" i="16"/>
  <c r="D14" i="16"/>
  <c r="C14" i="16"/>
  <c r="H10" i="16"/>
  <c r="G10" i="16"/>
  <c r="F10" i="16"/>
  <c r="E10" i="16"/>
  <c r="D10" i="16"/>
  <c r="C10" i="16"/>
  <c r="H6" i="16"/>
  <c r="G6" i="16"/>
  <c r="F6" i="16"/>
  <c r="E6" i="16"/>
  <c r="D6" i="16"/>
  <c r="C6" i="16"/>
  <c r="N5" i="16"/>
  <c r="M5" i="16"/>
  <c r="L5" i="16"/>
  <c r="K5" i="16"/>
  <c r="J5" i="16"/>
  <c r="I5" i="16"/>
  <c r="N4" i="16"/>
  <c r="M4" i="16"/>
  <c r="L4" i="16"/>
  <c r="K4" i="16"/>
  <c r="J4" i="16"/>
  <c r="I4" i="16"/>
  <c r="N3" i="16"/>
  <c r="M3" i="16"/>
  <c r="L3" i="16"/>
  <c r="K3" i="16"/>
  <c r="J3" i="16"/>
  <c r="I3" i="16"/>
  <c r="H2" i="16"/>
  <c r="G2" i="16"/>
  <c r="F2" i="16"/>
  <c r="E2" i="16"/>
  <c r="D2" i="16"/>
  <c r="C2" i="16"/>
  <c r="AS20" i="6"/>
  <c r="AS19" i="6"/>
  <c r="AS18" i="6"/>
  <c r="AS17" i="6"/>
  <c r="AS16" i="6"/>
  <c r="AS15" i="6"/>
  <c r="AS14" i="6"/>
  <c r="AS13" i="6"/>
  <c r="AS12" i="6"/>
  <c r="AS11" i="6"/>
  <c r="AS10" i="6"/>
  <c r="AS9" i="6"/>
  <c r="AS8" i="6"/>
  <c r="AS7" i="6"/>
  <c r="AS6" i="6"/>
  <c r="AS5" i="6"/>
  <c r="AR20" i="6"/>
  <c r="AQ20" i="6"/>
  <c r="AQ19" i="6"/>
  <c r="AR19" i="6" s="1"/>
  <c r="AR18" i="6"/>
  <c r="AQ18" i="6"/>
  <c r="AQ17" i="6"/>
  <c r="AR17" i="6" s="1"/>
  <c r="AR16" i="6"/>
  <c r="AQ16" i="6"/>
  <c r="AQ15" i="6"/>
  <c r="AR15" i="6" s="1"/>
  <c r="AQ14" i="6"/>
  <c r="AR14" i="6" s="1"/>
  <c r="AQ13" i="6"/>
  <c r="AR13" i="6" s="1"/>
  <c r="AR12" i="6"/>
  <c r="AQ12" i="6"/>
  <c r="AQ11" i="6"/>
  <c r="AR11" i="6" s="1"/>
  <c r="AR10" i="6"/>
  <c r="AQ10" i="6"/>
  <c r="AQ9" i="6"/>
  <c r="AR9" i="6" s="1"/>
  <c r="AR8" i="6"/>
  <c r="AQ8" i="6"/>
  <c r="AQ7" i="6"/>
  <c r="AR7" i="6" s="1"/>
  <c r="AR6" i="6"/>
  <c r="AQ6" i="6"/>
  <c r="AR5" i="6"/>
  <c r="AQ5" i="6"/>
  <c r="AM7" i="6"/>
  <c r="AO20" i="6"/>
  <c r="AM20" i="6"/>
  <c r="AN20" i="6" s="1"/>
  <c r="AO19" i="6"/>
  <c r="AN19" i="6"/>
  <c r="AM19" i="6"/>
  <c r="AO18" i="6"/>
  <c r="AN18" i="6"/>
  <c r="AM18" i="6"/>
  <c r="AO17" i="6"/>
  <c r="AM17" i="6"/>
  <c r="AN17" i="6" s="1"/>
  <c r="AO16" i="6"/>
  <c r="AM16" i="6"/>
  <c r="AN16" i="6" s="1"/>
  <c r="AO15" i="6"/>
  <c r="AN15" i="6"/>
  <c r="AM15" i="6"/>
  <c r="AO14" i="6"/>
  <c r="AM14" i="6"/>
  <c r="AN14" i="6" s="1"/>
  <c r="AO13" i="6"/>
  <c r="AM13" i="6"/>
  <c r="AN13" i="6" s="1"/>
  <c r="AO12" i="6"/>
  <c r="AM12" i="6"/>
  <c r="AN12" i="6" s="1"/>
  <c r="AO11" i="6"/>
  <c r="AN11" i="6"/>
  <c r="AM11" i="6"/>
  <c r="AO10" i="6"/>
  <c r="AN10" i="6"/>
  <c r="AM10" i="6"/>
  <c r="AO9" i="6"/>
  <c r="AM9" i="6"/>
  <c r="AN9" i="6" s="1"/>
  <c r="AO8" i="6"/>
  <c r="AM8" i="6"/>
  <c r="AN8" i="6" s="1"/>
  <c r="AO7" i="6"/>
  <c r="AN7" i="6"/>
  <c r="AO6" i="6"/>
  <c r="AM6" i="6"/>
  <c r="AN6" i="6" s="1"/>
  <c r="AO5" i="6"/>
  <c r="AN5" i="6"/>
  <c r="AM5" i="6"/>
  <c r="AH20" i="6" l="1"/>
  <c r="AI20" i="6"/>
  <c r="AC20" i="6"/>
  <c r="AD20" i="6"/>
  <c r="X20" i="6"/>
  <c r="Y20" i="6"/>
  <c r="S20" i="6"/>
  <c r="T20" i="6"/>
  <c r="N20" i="6"/>
  <c r="O20" i="6"/>
  <c r="I20" i="6"/>
  <c r="J20" i="6"/>
  <c r="B20" i="6"/>
  <c r="C20" i="6"/>
  <c r="D20" i="6"/>
  <c r="E20" i="6"/>
  <c r="F20" i="6"/>
  <c r="G20" i="6"/>
  <c r="H20" i="6"/>
  <c r="P5" i="6"/>
  <c r="P6" i="6"/>
  <c r="Q7" i="6"/>
  <c r="Q8" i="6"/>
  <c r="Q9" i="6"/>
  <c r="P10" i="6"/>
  <c r="P11" i="6"/>
  <c r="P12" i="6"/>
  <c r="P13" i="6"/>
  <c r="Q14" i="6"/>
  <c r="P15" i="6"/>
  <c r="P16" i="6"/>
  <c r="Q17" i="6"/>
  <c r="P18" i="6"/>
  <c r="P19" i="6"/>
  <c r="K5" i="6"/>
  <c r="L5" i="6"/>
  <c r="K6" i="6"/>
  <c r="L6" i="6"/>
  <c r="K7" i="6"/>
  <c r="L7" i="6"/>
  <c r="K8" i="6"/>
  <c r="L8" i="6"/>
  <c r="K9" i="6"/>
  <c r="L9" i="6"/>
  <c r="K10" i="6"/>
  <c r="L10" i="6"/>
  <c r="K11" i="6"/>
  <c r="L11" i="6"/>
  <c r="K12" i="6"/>
  <c r="L12" i="6"/>
  <c r="K13" i="6"/>
  <c r="L13" i="6"/>
  <c r="K14" i="6"/>
  <c r="L14" i="6"/>
  <c r="K15" i="6"/>
  <c r="L15" i="6"/>
  <c r="K16" i="6"/>
  <c r="L16" i="6"/>
  <c r="K17" i="6"/>
  <c r="L17" i="6"/>
  <c r="K18" i="6"/>
  <c r="L18" i="6"/>
  <c r="K19" i="6"/>
  <c r="L19" i="6"/>
  <c r="Q15" i="6" l="1"/>
  <c r="P7" i="6"/>
  <c r="Q19" i="6"/>
  <c r="M20" i="6"/>
  <c r="P20" i="6" s="1"/>
  <c r="P8" i="6"/>
  <c r="P14" i="6"/>
  <c r="Q6" i="6"/>
  <c r="L20" i="6"/>
  <c r="K20" i="6"/>
  <c r="P17" i="6"/>
  <c r="P9" i="6"/>
  <c r="Q16" i="6"/>
  <c r="Q11" i="6"/>
  <c r="Q12" i="6"/>
  <c r="Q13" i="6"/>
  <c r="Q5" i="6"/>
  <c r="Q18" i="6"/>
  <c r="Q10" i="6"/>
  <c r="Q20" i="6" l="1"/>
  <c r="H40" i="7" l="1"/>
  <c r="G40" i="7"/>
  <c r="E40" i="7"/>
  <c r="D40" i="7"/>
  <c r="B40" i="7"/>
  <c r="F40" i="7"/>
  <c r="C40" i="7"/>
  <c r="O6" i="9" l="1"/>
  <c r="B40" i="11" l="1"/>
  <c r="F40" i="11"/>
  <c r="E40" i="11"/>
  <c r="H40" i="11"/>
  <c r="C40" i="11"/>
  <c r="G40" i="11"/>
  <c r="D40" i="11"/>
  <c r="AA10" i="6" l="1"/>
  <c r="Z10" i="6"/>
  <c r="AF9" i="6"/>
  <c r="AE9" i="6"/>
  <c r="AJ16" i="6"/>
  <c r="AK16" i="6"/>
  <c r="AJ8" i="6"/>
  <c r="AK8" i="6"/>
  <c r="U18" i="6"/>
  <c r="V18" i="6"/>
  <c r="V10" i="6"/>
  <c r="U10" i="6"/>
  <c r="Z17" i="6"/>
  <c r="AA17" i="6"/>
  <c r="Z9" i="6"/>
  <c r="AA9" i="6"/>
  <c r="AE16" i="6"/>
  <c r="AF16" i="6"/>
  <c r="AE8" i="6"/>
  <c r="AF8" i="6"/>
  <c r="AJ15" i="6"/>
  <c r="AK15" i="6"/>
  <c r="AJ7" i="6"/>
  <c r="AK7" i="6"/>
  <c r="Z8" i="6"/>
  <c r="AA8" i="6"/>
  <c r="V16" i="6"/>
  <c r="U16" i="6"/>
  <c r="V8" i="6"/>
  <c r="U8" i="6"/>
  <c r="Z15" i="6"/>
  <c r="AA15" i="6"/>
  <c r="Z7" i="6"/>
  <c r="AA7" i="6"/>
  <c r="AE14" i="6"/>
  <c r="AF14" i="6"/>
  <c r="AE6" i="6"/>
  <c r="AF6" i="6"/>
  <c r="AJ13" i="6"/>
  <c r="AK13" i="6"/>
  <c r="AE15" i="6"/>
  <c r="AF15" i="6"/>
  <c r="V15" i="6"/>
  <c r="U15" i="6"/>
  <c r="U7" i="6"/>
  <c r="V7" i="6"/>
  <c r="AA14" i="6"/>
  <c r="Z14" i="6"/>
  <c r="Z6" i="6"/>
  <c r="AA6" i="6"/>
  <c r="AF13" i="6"/>
  <c r="AE13" i="6"/>
  <c r="AG20" i="6"/>
  <c r="AJ5" i="6"/>
  <c r="AK5" i="6"/>
  <c r="AJ12" i="6"/>
  <c r="AK12" i="6"/>
  <c r="V11" i="6"/>
  <c r="U11" i="6"/>
  <c r="Z16" i="6"/>
  <c r="AA16" i="6"/>
  <c r="AJ14" i="6"/>
  <c r="AK14" i="6"/>
  <c r="U14" i="6"/>
  <c r="V14" i="6"/>
  <c r="U6" i="6"/>
  <c r="V6" i="6"/>
  <c r="Z13" i="6"/>
  <c r="AA13" i="6"/>
  <c r="AE5" i="6"/>
  <c r="AB20" i="6"/>
  <c r="AF5" i="6"/>
  <c r="AE12" i="6"/>
  <c r="AF12" i="6"/>
  <c r="AJ19" i="6"/>
  <c r="AK19" i="6"/>
  <c r="AK11" i="6"/>
  <c r="AJ11" i="6"/>
  <c r="AA18" i="6"/>
  <c r="Z18" i="6"/>
  <c r="U17" i="6"/>
  <c r="V17" i="6"/>
  <c r="AE7" i="6"/>
  <c r="AF7" i="6"/>
  <c r="U13" i="6"/>
  <c r="V13" i="6"/>
  <c r="W20" i="6"/>
  <c r="AA5" i="6"/>
  <c r="Z5" i="6"/>
  <c r="Z12" i="6"/>
  <c r="AA12" i="6"/>
  <c r="AE19" i="6"/>
  <c r="AF19" i="6"/>
  <c r="AE11" i="6"/>
  <c r="AF11" i="6"/>
  <c r="AJ18" i="6"/>
  <c r="AK18" i="6"/>
  <c r="AJ10" i="6"/>
  <c r="AK10" i="6"/>
  <c r="V19" i="6"/>
  <c r="U19" i="6"/>
  <c r="AF17" i="6"/>
  <c r="AE17" i="6"/>
  <c r="U9" i="6"/>
  <c r="V9" i="6"/>
  <c r="AJ6" i="6"/>
  <c r="AK6" i="6"/>
  <c r="U5" i="6"/>
  <c r="V5" i="6"/>
  <c r="R20" i="6"/>
  <c r="U12" i="6"/>
  <c r="V12" i="6"/>
  <c r="Z19" i="6"/>
  <c r="AA19" i="6"/>
  <c r="Z11" i="6"/>
  <c r="AA11" i="6"/>
  <c r="AE18" i="6"/>
  <c r="AF18" i="6"/>
  <c r="AE10" i="6"/>
  <c r="AF10" i="6"/>
  <c r="AJ17" i="6"/>
  <c r="AK17" i="6"/>
  <c r="AJ9" i="6"/>
  <c r="AK9" i="6"/>
  <c r="AA20" i="6" l="1"/>
  <c r="Z20" i="6"/>
  <c r="AF20" i="6"/>
  <c r="AE20" i="6"/>
  <c r="U20" i="6"/>
  <c r="V20" i="6"/>
  <c r="AJ20" i="6"/>
  <c r="AK20" i="6"/>
  <c r="R5" i="11" l="1"/>
  <c r="Q18" i="11"/>
  <c r="O16" i="11"/>
  <c r="N15" i="11"/>
  <c r="M14" i="11"/>
  <c r="L13" i="11"/>
  <c r="R11" i="11"/>
  <c r="Q19" i="11"/>
  <c r="L9" i="11"/>
  <c r="R7" i="11"/>
  <c r="Q46" i="11"/>
  <c r="P45" i="11"/>
  <c r="P18" i="11"/>
  <c r="N19" i="11"/>
  <c r="C20" i="11"/>
  <c r="L17" i="11"/>
  <c r="R15" i="11"/>
  <c r="Q14" i="11"/>
  <c r="P53" i="11"/>
  <c r="O12" i="11"/>
  <c r="N11" i="11"/>
  <c r="L10" i="11"/>
  <c r="R8" i="11"/>
  <c r="Q7" i="11"/>
  <c r="P6" i="11"/>
  <c r="M19" i="11"/>
  <c r="L18" i="11"/>
  <c r="R16" i="11"/>
  <c r="Q15" i="11"/>
  <c r="P14" i="11"/>
  <c r="O13" i="11"/>
  <c r="N12" i="11"/>
  <c r="M11" i="11"/>
  <c r="Q10" i="11"/>
  <c r="P29" i="11"/>
  <c r="O8" i="11"/>
  <c r="N7" i="11"/>
  <c r="M10" i="11"/>
  <c r="O47" i="11"/>
  <c r="O59" i="11"/>
  <c r="R54" i="11"/>
  <c r="O51" i="11"/>
  <c r="N50" i="11"/>
  <c r="L48" i="11"/>
  <c r="R46" i="11"/>
  <c r="R58" i="11"/>
  <c r="Q57" i="11"/>
  <c r="P56" i="11"/>
  <c r="O55" i="11"/>
  <c r="N54" i="11"/>
  <c r="M53" i="11"/>
  <c r="L52" i="11"/>
  <c r="L53" i="11"/>
  <c r="L59" i="11"/>
  <c r="R57" i="11"/>
  <c r="Q56" i="11"/>
  <c r="P55" i="11"/>
  <c r="O54" i="11"/>
  <c r="N53" i="11"/>
  <c r="M52" i="11"/>
  <c r="L51" i="11"/>
  <c r="R49" i="11"/>
  <c r="Q39" i="11"/>
  <c r="O37" i="11"/>
  <c r="M35" i="11"/>
  <c r="R12" i="11"/>
  <c r="Q31" i="11"/>
  <c r="O9" i="11"/>
  <c r="O56" i="11"/>
  <c r="P39" i="11"/>
  <c r="O38" i="11"/>
  <c r="N37" i="11"/>
  <c r="M36" i="11"/>
  <c r="L35" i="11"/>
  <c r="R33" i="11"/>
  <c r="Q32" i="11"/>
  <c r="P31" i="11"/>
  <c r="O30" i="11"/>
  <c r="N29" i="11"/>
  <c r="M28" i="11"/>
  <c r="L27" i="11"/>
  <c r="O57" i="11"/>
  <c r="N56" i="11"/>
  <c r="M55" i="11"/>
  <c r="L54" i="11"/>
  <c r="R52" i="11"/>
  <c r="P50" i="11"/>
  <c r="O49" i="11"/>
  <c r="N48" i="11"/>
  <c r="M47" i="11"/>
  <c r="B20" i="11"/>
  <c r="N36" i="11"/>
  <c r="L34" i="11"/>
  <c r="P30" i="11"/>
  <c r="N55" i="11"/>
  <c r="O19" i="11"/>
  <c r="N58" i="11"/>
  <c r="L56" i="11"/>
  <c r="R14" i="11"/>
  <c r="P52" i="11"/>
  <c r="D20" i="11"/>
  <c r="M29" i="11"/>
  <c r="L8" i="11"/>
  <c r="R6" i="11"/>
  <c r="G20" i="11"/>
  <c r="P59" i="11"/>
  <c r="O58" i="11"/>
  <c r="N57" i="11"/>
  <c r="O46" i="11"/>
  <c r="Q59" i="11"/>
  <c r="M56" i="11"/>
  <c r="O39" i="11"/>
  <c r="N18" i="11"/>
  <c r="N38" i="11"/>
  <c r="M17" i="11"/>
  <c r="M37" i="11"/>
  <c r="L16" i="11"/>
  <c r="L36" i="11"/>
  <c r="R34" i="11"/>
  <c r="Q13" i="11"/>
  <c r="Q33" i="11"/>
  <c r="P12" i="11"/>
  <c r="O11" i="11"/>
  <c r="N10" i="11"/>
  <c r="M9" i="11"/>
  <c r="L28" i="11"/>
  <c r="Q25" i="11"/>
  <c r="R59" i="11"/>
  <c r="Q58" i="11"/>
  <c r="P57" i="11"/>
  <c r="R51" i="11"/>
  <c r="Q50" i="11"/>
  <c r="O48" i="11"/>
  <c r="N47" i="11"/>
  <c r="M46" i="11"/>
  <c r="P25" i="11"/>
  <c r="L26" i="11"/>
  <c r="L46" i="11"/>
  <c r="R26" i="11"/>
  <c r="L19" i="11"/>
  <c r="R17" i="11"/>
  <c r="Q16" i="11"/>
  <c r="P15" i="11"/>
  <c r="O14" i="11"/>
  <c r="N13" i="11"/>
  <c r="M12" i="11"/>
  <c r="L11" i="11"/>
  <c r="R9" i="11"/>
  <c r="N39" i="11"/>
  <c r="L37" i="11"/>
  <c r="Q34" i="11"/>
  <c r="P33" i="11"/>
  <c r="O32" i="11"/>
  <c r="M30" i="11"/>
  <c r="L29" i="11"/>
  <c r="R27" i="11"/>
  <c r="P5" i="11"/>
  <c r="R18" i="11"/>
  <c r="Q17" i="11"/>
  <c r="P16" i="11"/>
  <c r="O15" i="11"/>
  <c r="N14" i="11"/>
  <c r="M13" i="11"/>
  <c r="L12" i="11"/>
  <c r="O7" i="11"/>
  <c r="M39" i="11"/>
  <c r="L38" i="11"/>
  <c r="R36" i="11"/>
  <c r="P34" i="11"/>
  <c r="O33" i="11"/>
  <c r="N32" i="11"/>
  <c r="L30" i="11"/>
  <c r="R28" i="11"/>
  <c r="Q27" i="11"/>
  <c r="O5" i="11"/>
  <c r="L55" i="11"/>
  <c r="R53" i="11"/>
  <c r="Q52" i="11"/>
  <c r="P51" i="11"/>
  <c r="O50" i="11"/>
  <c r="N49" i="11"/>
  <c r="M48" i="11"/>
  <c r="L47" i="11"/>
  <c r="Q48" i="11"/>
  <c r="L39" i="11"/>
  <c r="R37" i="11"/>
  <c r="Q36" i="11"/>
  <c r="P35" i="11"/>
  <c r="O34" i="11"/>
  <c r="N33" i="11"/>
  <c r="M32" i="11"/>
  <c r="L31" i="11"/>
  <c r="R29" i="11"/>
  <c r="M57" i="11"/>
  <c r="Q53" i="11"/>
  <c r="M49" i="11"/>
  <c r="R32" i="11"/>
  <c r="M27" i="11"/>
  <c r="P32" i="11"/>
  <c r="P10" i="11"/>
  <c r="O17" i="11"/>
  <c r="N16" i="11"/>
  <c r="M15" i="11"/>
  <c r="L14" i="11"/>
  <c r="Q11" i="11"/>
  <c r="N8" i="11"/>
  <c r="M7" i="11"/>
  <c r="L6" i="11"/>
  <c r="R38" i="11"/>
  <c r="Q37" i="11"/>
  <c r="P36" i="11"/>
  <c r="O35" i="11"/>
  <c r="N34" i="11"/>
  <c r="M33" i="11"/>
  <c r="L32" i="11"/>
  <c r="R30" i="11"/>
  <c r="Q29" i="11"/>
  <c r="P28" i="11"/>
  <c r="O27" i="11"/>
  <c r="N26" i="11"/>
  <c r="M45" i="11"/>
  <c r="N59" i="11"/>
  <c r="L57" i="11"/>
  <c r="R55" i="11"/>
  <c r="Q54" i="11"/>
  <c r="O52" i="11"/>
  <c r="N51" i="11"/>
  <c r="M50" i="11"/>
  <c r="R47" i="11"/>
  <c r="O29" i="11"/>
  <c r="N28" i="11"/>
  <c r="O31" i="11"/>
  <c r="P47" i="11"/>
  <c r="Q51" i="11"/>
  <c r="P19" i="11"/>
  <c r="O18" i="11"/>
  <c r="N17" i="11"/>
  <c r="M16" i="11"/>
  <c r="L15" i="11"/>
  <c r="R13" i="11"/>
  <c r="Q12" i="11"/>
  <c r="P11" i="11"/>
  <c r="O10" i="11"/>
  <c r="N9" i="11"/>
  <c r="M8" i="11"/>
  <c r="L7" i="11"/>
  <c r="H20" i="11"/>
  <c r="Q38" i="11"/>
  <c r="O36" i="11"/>
  <c r="N35" i="11"/>
  <c r="L33" i="11"/>
  <c r="R31" i="11"/>
  <c r="Q30" i="11"/>
  <c r="O28" i="11"/>
  <c r="N27" i="11"/>
  <c r="M59" i="11"/>
  <c r="L58" i="11"/>
  <c r="R56" i="11"/>
  <c r="P54" i="11"/>
  <c r="O53" i="11"/>
  <c r="N52" i="11"/>
  <c r="L50" i="11"/>
  <c r="R48" i="11"/>
  <c r="Q47" i="11"/>
  <c r="N30" i="11"/>
  <c r="L25" i="9"/>
  <c r="M25" i="9"/>
  <c r="N25" i="9"/>
  <c r="O25" i="9"/>
  <c r="L26" i="9"/>
  <c r="M26" i="9"/>
  <c r="O26" i="9"/>
  <c r="P26" i="9"/>
  <c r="Q26" i="9"/>
  <c r="M27" i="9"/>
  <c r="N27" i="9"/>
  <c r="O27" i="9"/>
  <c r="P27" i="9"/>
  <c r="Q27" i="9"/>
  <c r="R27" i="9"/>
  <c r="N28" i="9"/>
  <c r="O28" i="9"/>
  <c r="P28" i="9"/>
  <c r="Q28" i="9"/>
  <c r="R28" i="9"/>
  <c r="L29" i="9"/>
  <c r="O29" i="9"/>
  <c r="P29" i="9"/>
  <c r="Q29" i="9"/>
  <c r="R29" i="9"/>
  <c r="L30" i="9"/>
  <c r="M30" i="9"/>
  <c r="O30" i="9"/>
  <c r="P30" i="9"/>
  <c r="Q30" i="9"/>
  <c r="R30" i="9"/>
  <c r="L31" i="9"/>
  <c r="M31" i="9"/>
  <c r="N31" i="9"/>
  <c r="P31" i="9"/>
  <c r="Q31" i="9"/>
  <c r="R31" i="9"/>
  <c r="L32" i="9"/>
  <c r="N32" i="9"/>
  <c r="O32" i="9"/>
  <c r="Q32" i="9"/>
  <c r="R32" i="9"/>
  <c r="L33" i="9"/>
  <c r="M33" i="9"/>
  <c r="N33" i="9"/>
  <c r="O33" i="9"/>
  <c r="P33" i="9"/>
  <c r="Q33" i="9"/>
  <c r="R33" i="9"/>
  <c r="L34" i="9"/>
  <c r="M34" i="9"/>
  <c r="N34" i="9"/>
  <c r="O34" i="9"/>
  <c r="P34" i="9"/>
  <c r="Q34" i="9"/>
  <c r="M35" i="9"/>
  <c r="N35" i="9"/>
  <c r="O35" i="9"/>
  <c r="P35" i="9"/>
  <c r="Q35" i="9"/>
  <c r="R35" i="9"/>
  <c r="M36" i="9"/>
  <c r="N36" i="9"/>
  <c r="O36" i="9"/>
  <c r="P36" i="9"/>
  <c r="R36" i="9"/>
  <c r="L37" i="9"/>
  <c r="O37" i="9"/>
  <c r="P37" i="9"/>
  <c r="Q37" i="9"/>
  <c r="R37" i="9"/>
  <c r="L38" i="9"/>
  <c r="M38" i="9"/>
  <c r="O38" i="9"/>
  <c r="P38" i="9"/>
  <c r="Q38" i="9"/>
  <c r="R38" i="9"/>
  <c r="L39" i="9"/>
  <c r="M39" i="9"/>
  <c r="N39" i="9"/>
  <c r="Q39" i="9"/>
  <c r="R39" i="9"/>
  <c r="L49" i="11" l="1"/>
  <c r="M58" i="11"/>
  <c r="N31" i="11"/>
  <c r="P49" i="11"/>
  <c r="R25" i="11"/>
  <c r="M51" i="11"/>
  <c r="M34" i="11"/>
  <c r="E20" i="11"/>
  <c r="P26" i="11"/>
  <c r="Q35" i="11"/>
  <c r="R45" i="11"/>
  <c r="M54" i="11"/>
  <c r="P9" i="11"/>
  <c r="P13" i="11"/>
  <c r="M18" i="11"/>
  <c r="Q6" i="11"/>
  <c r="F20" i="11"/>
  <c r="Q26" i="11"/>
  <c r="R35" i="11"/>
  <c r="P38" i="11"/>
  <c r="M38" i="11"/>
  <c r="P46" i="11"/>
  <c r="Q55" i="11"/>
  <c r="M31" i="11"/>
  <c r="P58" i="11"/>
  <c r="O6" i="11"/>
  <c r="H60" i="11"/>
  <c r="E60" i="11"/>
  <c r="R39" i="11"/>
  <c r="R19" i="11"/>
  <c r="P8" i="11"/>
  <c r="O26" i="11"/>
  <c r="L25" i="11"/>
  <c r="Q45" i="11"/>
  <c r="Q5" i="11"/>
  <c r="M26" i="11"/>
  <c r="D60" i="11"/>
  <c r="N45" i="11"/>
  <c r="M25" i="11"/>
  <c r="M5" i="11"/>
  <c r="Q9" i="11"/>
  <c r="N46" i="11"/>
  <c r="P37" i="11"/>
  <c r="F60" i="11"/>
  <c r="M6" i="11"/>
  <c r="R10" i="11"/>
  <c r="P48" i="11"/>
  <c r="P27" i="11"/>
  <c r="P17" i="11"/>
  <c r="O25" i="11"/>
  <c r="O45" i="11"/>
  <c r="Q49" i="11"/>
  <c r="P7" i="11"/>
  <c r="N25" i="11"/>
  <c r="R50" i="11"/>
  <c r="G60" i="11"/>
  <c r="Q28" i="11"/>
  <c r="Q8" i="11"/>
  <c r="C60" i="11"/>
  <c r="N6" i="11"/>
  <c r="L5" i="11"/>
  <c r="B60" i="11"/>
  <c r="L60" i="11" s="1"/>
  <c r="L45" i="11"/>
  <c r="N5" i="11"/>
  <c r="O39" i="9"/>
  <c r="N38" i="9"/>
  <c r="M37" i="9"/>
  <c r="L36" i="9"/>
  <c r="R34" i="9"/>
  <c r="P32" i="9"/>
  <c r="O31" i="9"/>
  <c r="N30" i="9"/>
  <c r="M29" i="9"/>
  <c r="L28" i="9"/>
  <c r="R26" i="9"/>
  <c r="Q25" i="9"/>
  <c r="P39" i="9"/>
  <c r="N37" i="9"/>
  <c r="L35" i="9"/>
  <c r="M28" i="9"/>
  <c r="R25" i="9"/>
  <c r="Q36" i="9"/>
  <c r="M32" i="9"/>
  <c r="C40" i="9"/>
  <c r="G20" i="9"/>
  <c r="B40" i="9"/>
  <c r="H20" i="9"/>
  <c r="C20" i="9"/>
  <c r="G40" i="9"/>
  <c r="D40" i="9"/>
  <c r="N26" i="9"/>
  <c r="D20" i="9"/>
  <c r="H40" i="9"/>
  <c r="F40" i="9"/>
  <c r="N29" i="9"/>
  <c r="L27" i="9"/>
  <c r="E40" i="9"/>
  <c r="F20" i="9"/>
  <c r="B20" i="9"/>
  <c r="P25" i="9"/>
  <c r="E20" i="9"/>
  <c r="N60" i="11" l="1"/>
  <c r="R20" i="11"/>
  <c r="R60" i="11"/>
  <c r="R40" i="11"/>
  <c r="N20" i="11"/>
  <c r="P40" i="9"/>
  <c r="M40" i="9"/>
  <c r="O20" i="11"/>
  <c r="N40" i="11"/>
  <c r="O40" i="9"/>
  <c r="O40" i="11"/>
  <c r="L20" i="11"/>
  <c r="L40" i="11"/>
  <c r="M60" i="11"/>
  <c r="Q40" i="9"/>
  <c r="Q60" i="11"/>
  <c r="M40" i="11"/>
  <c r="O60" i="11"/>
  <c r="Q40" i="11"/>
  <c r="Q20" i="11"/>
  <c r="P20" i="11"/>
  <c r="P40" i="11"/>
  <c r="P60" i="11"/>
  <c r="M20" i="11"/>
  <c r="L40" i="9"/>
  <c r="R40" i="9"/>
  <c r="N40" i="9"/>
  <c r="H20" i="3" l="1"/>
  <c r="G20" i="3"/>
  <c r="Q49" i="3"/>
  <c r="Q46" i="3"/>
  <c r="Q9" i="3"/>
  <c r="Q17" i="3"/>
  <c r="Q5" i="3"/>
  <c r="Q14" i="3"/>
  <c r="Q16" i="3"/>
  <c r="Q53" i="3"/>
  <c r="Q10" i="3" l="1"/>
  <c r="Q26" i="3"/>
  <c r="Q6" i="3"/>
  <c r="H60" i="3"/>
  <c r="Q18" i="3"/>
  <c r="Q12" i="3"/>
  <c r="Q13" i="3"/>
  <c r="O56" i="3"/>
  <c r="E20" i="3"/>
  <c r="Q45" i="3"/>
  <c r="Q52" i="3"/>
  <c r="B20" i="3"/>
  <c r="O16" i="3"/>
  <c r="N57" i="3"/>
  <c r="Q28" i="3"/>
  <c r="Q36" i="3"/>
  <c r="Q32" i="3"/>
  <c r="Q50" i="3"/>
  <c r="Q58" i="3"/>
  <c r="N47" i="3"/>
  <c r="O11" i="3"/>
  <c r="L48" i="3"/>
  <c r="L59" i="3"/>
  <c r="N55" i="3"/>
  <c r="Q35" i="3"/>
  <c r="Q38" i="3"/>
  <c r="K7" i="3"/>
  <c r="K9" i="3"/>
  <c r="Q11" i="3"/>
  <c r="F20" i="3"/>
  <c r="M15" i="3"/>
  <c r="Q51" i="3"/>
  <c r="Q8" i="3"/>
  <c r="Q27" i="3"/>
  <c r="P58" i="3"/>
  <c r="L9" i="3"/>
  <c r="Q47" i="3"/>
  <c r="Q31" i="3"/>
  <c r="Q7" i="3"/>
  <c r="Q29" i="3"/>
  <c r="P51" i="3"/>
  <c r="N50" i="3"/>
  <c r="K59" i="3"/>
  <c r="Q34" i="3"/>
  <c r="N56" i="3"/>
  <c r="K53" i="3"/>
  <c r="Q33" i="3"/>
  <c r="N58" i="3"/>
  <c r="M18" i="3"/>
  <c r="K48" i="3"/>
  <c r="L51" i="3"/>
  <c r="O48" i="3"/>
  <c r="P39" i="3"/>
  <c r="Q25" i="3"/>
  <c r="H40" i="3"/>
  <c r="Q15" i="3"/>
  <c r="O25" i="3"/>
  <c r="N45" i="3"/>
  <c r="Q55" i="3"/>
  <c r="Q56" i="3"/>
  <c r="L46" i="3"/>
  <c r="L15" i="3"/>
  <c r="L54" i="3"/>
  <c r="O19" i="3"/>
  <c r="M12" i="3"/>
  <c r="O53" i="3"/>
  <c r="N53" i="3"/>
  <c r="C20" i="3"/>
  <c r="Q19" i="3"/>
  <c r="L53" i="3"/>
  <c r="Q30" i="3"/>
  <c r="Q54" i="3"/>
  <c r="Q37" i="3"/>
  <c r="Q59" i="3"/>
  <c r="P49" i="3"/>
  <c r="Q57" i="3"/>
  <c r="Q48" i="3"/>
  <c r="K25" i="3"/>
  <c r="M50" i="3"/>
  <c r="Q39" i="3"/>
  <c r="O36" i="3" l="1"/>
  <c r="M49" i="3"/>
  <c r="L14" i="3"/>
  <c r="O57" i="3"/>
  <c r="O47" i="3"/>
  <c r="O14" i="3"/>
  <c r="N15" i="3"/>
  <c r="M8" i="3"/>
  <c r="K17" i="3"/>
  <c r="K10" i="3"/>
  <c r="O18" i="3"/>
  <c r="N35" i="3"/>
  <c r="L16" i="3"/>
  <c r="N54" i="3"/>
  <c r="N46" i="3"/>
  <c r="N27" i="3"/>
  <c r="M46" i="3"/>
  <c r="Q20" i="3"/>
  <c r="O51" i="3"/>
  <c r="M14" i="3"/>
  <c r="L34" i="3"/>
  <c r="N14" i="3"/>
  <c r="M57" i="3"/>
  <c r="N16" i="3"/>
  <c r="K15" i="3"/>
  <c r="K52" i="3"/>
  <c r="K8" i="3"/>
  <c r="L7" i="3"/>
  <c r="P52" i="3"/>
  <c r="M7" i="3"/>
  <c r="L12" i="3"/>
  <c r="L39" i="3"/>
  <c r="K19" i="3"/>
  <c r="O8" i="3"/>
  <c r="B40" i="3"/>
  <c r="N49" i="3"/>
  <c r="N6" i="3"/>
  <c r="L58" i="3"/>
  <c r="P31" i="3"/>
  <c r="O33" i="3"/>
  <c r="P54" i="3"/>
  <c r="L47" i="3"/>
  <c r="O49" i="3"/>
  <c r="P53" i="3"/>
  <c r="N51" i="3"/>
  <c r="K55" i="3"/>
  <c r="K13" i="3"/>
  <c r="N59" i="3"/>
  <c r="L52" i="3"/>
  <c r="L50" i="3"/>
  <c r="O54" i="3"/>
  <c r="N18" i="3"/>
  <c r="K58" i="3"/>
  <c r="N12" i="3"/>
  <c r="M51" i="3"/>
  <c r="F40" i="3"/>
  <c r="M58" i="3"/>
  <c r="K16" i="3"/>
  <c r="K12" i="3"/>
  <c r="N7" i="3"/>
  <c r="P48" i="3"/>
  <c r="C60" i="3"/>
  <c r="L45" i="3"/>
  <c r="M39" i="3"/>
  <c r="O30" i="3"/>
  <c r="L26" i="3"/>
  <c r="K34" i="3"/>
  <c r="P34" i="3"/>
  <c r="P14" i="3"/>
  <c r="M17" i="3"/>
  <c r="P37" i="3"/>
  <c r="P17" i="3"/>
  <c r="N36" i="3"/>
  <c r="P33" i="3"/>
  <c r="P13" i="3"/>
  <c r="P56" i="3"/>
  <c r="Q60" i="3"/>
  <c r="M48" i="3"/>
  <c r="L11" i="3"/>
  <c r="M9" i="3"/>
  <c r="P38" i="3"/>
  <c r="P18" i="3"/>
  <c r="K31" i="3"/>
  <c r="N28" i="3"/>
  <c r="O38" i="3"/>
  <c r="O32" i="3"/>
  <c r="M36" i="3"/>
  <c r="O27" i="3"/>
  <c r="M11" i="3"/>
  <c r="P29" i="3"/>
  <c r="P9" i="3"/>
  <c r="M31" i="3"/>
  <c r="O9" i="3"/>
  <c r="M10" i="3"/>
  <c r="O39" i="3"/>
  <c r="L32" i="3"/>
  <c r="F60" i="3"/>
  <c r="O45" i="3"/>
  <c r="N10" i="3"/>
  <c r="Q40" i="3"/>
  <c r="K57" i="3"/>
  <c r="O55" i="3"/>
  <c r="K50" i="3"/>
  <c r="M52" i="3"/>
  <c r="O17" i="3"/>
  <c r="P47" i="3"/>
  <c r="K33" i="3"/>
  <c r="M38" i="3"/>
  <c r="P50" i="3"/>
  <c r="K47" i="3"/>
  <c r="N31" i="3"/>
  <c r="O7" i="3"/>
  <c r="K28" i="3"/>
  <c r="L13" i="3"/>
  <c r="M33" i="3"/>
  <c r="L56" i="3"/>
  <c r="M59" i="3"/>
  <c r="K32" i="3"/>
  <c r="N29" i="3"/>
  <c r="M37" i="3"/>
  <c r="N25" i="3"/>
  <c r="E40" i="3"/>
  <c r="P59" i="3"/>
  <c r="P19" i="3"/>
  <c r="L30" i="3"/>
  <c r="O52" i="3"/>
  <c r="P32" i="3"/>
  <c r="P12" i="3"/>
  <c r="L25" i="3"/>
  <c r="C40" i="3"/>
  <c r="E60" i="3"/>
  <c r="O59" i="3"/>
  <c r="O35" i="3"/>
  <c r="P27" i="3"/>
  <c r="P7" i="3"/>
  <c r="O31" i="3"/>
  <c r="L8" i="3"/>
  <c r="M55" i="3"/>
  <c r="P28" i="3"/>
  <c r="P8" i="3"/>
  <c r="O34" i="3"/>
  <c r="O15" i="3"/>
  <c r="M5" i="3"/>
  <c r="D20" i="3"/>
  <c r="O29" i="3"/>
  <c r="L28" i="3"/>
  <c r="N5" i="3"/>
  <c r="N26" i="3"/>
  <c r="L37" i="3"/>
  <c r="N32" i="3"/>
  <c r="O6" i="3"/>
  <c r="O46" i="3"/>
  <c r="N11" i="3"/>
  <c r="G40" i="3"/>
  <c r="P30" i="3"/>
  <c r="P10" i="3"/>
  <c r="P36" i="3"/>
  <c r="P16" i="3"/>
  <c r="M56" i="3"/>
  <c r="O12" i="3"/>
  <c r="L57" i="3"/>
  <c r="K56" i="3"/>
  <c r="K45" i="3"/>
  <c r="B60" i="3"/>
  <c r="M25" i="3"/>
  <c r="D40" i="3"/>
  <c r="M27" i="3"/>
  <c r="L31" i="3"/>
  <c r="L55" i="3"/>
  <c r="P25" i="3"/>
  <c r="P5" i="3"/>
  <c r="N38" i="3"/>
  <c r="K51" i="3"/>
  <c r="M16" i="3"/>
  <c r="N34" i="3"/>
  <c r="O50" i="3"/>
  <c r="O28" i="3"/>
  <c r="L10" i="3"/>
  <c r="N9" i="3"/>
  <c r="M35" i="3"/>
  <c r="L33" i="3"/>
  <c r="M28" i="3"/>
  <c r="M54" i="3"/>
  <c r="M30" i="3"/>
  <c r="K26" i="3"/>
  <c r="K37" i="3"/>
  <c r="L35" i="3"/>
  <c r="L36" i="3"/>
  <c r="M45" i="3"/>
  <c r="D60" i="3"/>
  <c r="N33" i="3"/>
  <c r="K38" i="3"/>
  <c r="P57" i="3"/>
  <c r="O58" i="3"/>
  <c r="K30" i="3"/>
  <c r="N8" i="3"/>
  <c r="L29" i="3"/>
  <c r="M47" i="3"/>
  <c r="P26" i="3"/>
  <c r="P6" i="3"/>
  <c r="O26" i="3"/>
  <c r="P46" i="3"/>
  <c r="L6" i="3"/>
  <c r="P11" i="3"/>
  <c r="N13" i="3"/>
  <c r="O10" i="3"/>
  <c r="M19" i="3"/>
  <c r="M6" i="3"/>
  <c r="N17" i="3"/>
  <c r="M13" i="3"/>
  <c r="K5" i="3"/>
  <c r="K49" i="3"/>
  <c r="L19" i="3"/>
  <c r="M32" i="3"/>
  <c r="K36" i="3"/>
  <c r="K18" i="3"/>
  <c r="K27" i="3"/>
  <c r="G60" i="3"/>
  <c r="P45" i="3"/>
  <c r="P35" i="3"/>
  <c r="P15" i="3"/>
  <c r="K35" i="3"/>
  <c r="P55" i="3"/>
  <c r="K46" i="3"/>
  <c r="L5" i="3"/>
  <c r="O13" i="3"/>
  <c r="M29" i="3"/>
  <c r="M53" i="3"/>
  <c r="K14" i="3"/>
  <c r="M26" i="3"/>
  <c r="K11" i="3"/>
  <c r="N52" i="3"/>
  <c r="L17" i="3"/>
  <c r="K39" i="3"/>
  <c r="L18" i="3"/>
  <c r="N30" i="3"/>
  <c r="O5" i="3"/>
  <c r="L38" i="3"/>
  <c r="K29" i="3"/>
  <c r="N48" i="3"/>
  <c r="N39" i="3"/>
  <c r="K6" i="3"/>
  <c r="N19" i="3"/>
  <c r="O37" i="3"/>
  <c r="K54" i="3"/>
  <c r="L27" i="3"/>
  <c r="N37" i="3"/>
  <c r="L49" i="3"/>
  <c r="M34" i="3"/>
  <c r="K60" i="3" l="1"/>
  <c r="K20" i="3"/>
  <c r="L20" i="3"/>
  <c r="O60" i="3"/>
  <c r="M20" i="3"/>
  <c r="N60" i="3"/>
  <c r="P60" i="3"/>
  <c r="L60" i="3"/>
  <c r="L40" i="3"/>
  <c r="K40" i="3"/>
  <c r="N40" i="3"/>
  <c r="O40" i="3"/>
  <c r="M40" i="3"/>
  <c r="O20" i="3"/>
  <c r="M60" i="3"/>
  <c r="N20" i="3"/>
  <c r="P40" i="3"/>
  <c r="P20" i="3"/>
  <c r="O17" i="8" l="1"/>
  <c r="R18" i="8"/>
  <c r="Q16" i="8"/>
  <c r="O16" i="8"/>
  <c r="P16" i="8"/>
  <c r="R15" i="8"/>
  <c r="N14" i="8"/>
  <c r="O14" i="8"/>
  <c r="P33" i="8"/>
  <c r="P13" i="8"/>
  <c r="M13" i="8"/>
  <c r="N13" i="8"/>
  <c r="O13" i="8"/>
  <c r="O32" i="8"/>
  <c r="O12" i="8"/>
  <c r="M12" i="8"/>
  <c r="N11" i="8"/>
  <c r="M11" i="8"/>
  <c r="O11" i="8"/>
  <c r="L11" i="8"/>
  <c r="R10" i="8"/>
  <c r="P10" i="8"/>
  <c r="N10" i="8"/>
  <c r="Q10" i="8"/>
  <c r="M10" i="8"/>
  <c r="O9" i="8"/>
  <c r="Q9" i="8"/>
  <c r="P9" i="8"/>
  <c r="L9" i="8"/>
  <c r="N9" i="8"/>
  <c r="M8" i="8"/>
  <c r="O8" i="8"/>
  <c r="Q8" i="8"/>
  <c r="R8" i="8"/>
  <c r="N8" i="8"/>
  <c r="P8" i="8"/>
  <c r="L7" i="8"/>
  <c r="Q7" i="8"/>
  <c r="P7" i="8"/>
  <c r="M7" i="8"/>
  <c r="O7" i="8"/>
  <c r="N6" i="8"/>
  <c r="P6" i="8"/>
  <c r="R6" i="8"/>
  <c r="Q6" i="8"/>
  <c r="M33" i="8" l="1"/>
  <c r="P36" i="8"/>
  <c r="L29" i="8"/>
  <c r="N26" i="8"/>
  <c r="R28" i="8"/>
  <c r="N29" i="8"/>
  <c r="P30" i="8"/>
  <c r="M31" i="8"/>
  <c r="M32" i="8"/>
  <c r="N33" i="8"/>
  <c r="N34" i="8"/>
  <c r="P27" i="8"/>
  <c r="M30" i="8"/>
  <c r="L31" i="8"/>
  <c r="Q30" i="8"/>
  <c r="R38" i="8"/>
  <c r="O33" i="8"/>
  <c r="O31" i="8"/>
  <c r="O34" i="8"/>
  <c r="N31" i="8"/>
  <c r="M27" i="8"/>
  <c r="L27" i="8"/>
  <c r="N28" i="8"/>
  <c r="R5" i="8"/>
  <c r="R35" i="8"/>
  <c r="Q26" i="8"/>
  <c r="O27" i="8"/>
  <c r="M28" i="8"/>
  <c r="O29" i="8"/>
  <c r="N7" i="8"/>
  <c r="Q28" i="8"/>
  <c r="Q29" i="8"/>
  <c r="O37" i="8"/>
  <c r="O6" i="8"/>
  <c r="N30" i="8"/>
  <c r="M6" i="8"/>
  <c r="Q27" i="8"/>
  <c r="P28" i="8"/>
  <c r="P29" i="8"/>
  <c r="L10" i="8"/>
  <c r="Q36" i="8"/>
  <c r="O36" i="8"/>
  <c r="P26" i="8"/>
  <c r="O28" i="8"/>
  <c r="P11" i="8"/>
  <c r="O15" i="8"/>
  <c r="L17" i="8"/>
  <c r="M9" i="8"/>
  <c r="R7" i="8"/>
  <c r="L8" i="8"/>
  <c r="L37" i="8"/>
  <c r="R9" i="8"/>
  <c r="R13" i="8"/>
  <c r="L13" i="8"/>
  <c r="L6" i="8"/>
  <c r="O10" i="8"/>
  <c r="N12" i="8"/>
  <c r="R33" i="8"/>
  <c r="L33" i="8"/>
  <c r="Q14" i="8"/>
  <c r="R11" i="8"/>
  <c r="O18" i="8"/>
  <c r="Q17" i="8"/>
  <c r="M19" i="8"/>
  <c r="R19" i="8"/>
  <c r="L18" i="8"/>
  <c r="P14" i="8"/>
  <c r="R16" i="8"/>
  <c r="Q12" i="8"/>
  <c r="O19" i="8"/>
  <c r="L16" i="8"/>
  <c r="N18" i="8"/>
  <c r="R17" i="8"/>
  <c r="Q18" i="8"/>
  <c r="M29" i="8" l="1"/>
  <c r="R39" i="8"/>
  <c r="M26" i="8"/>
  <c r="N27" i="8"/>
  <c r="R37" i="8"/>
  <c r="M39" i="8"/>
  <c r="L30" i="8"/>
  <c r="L28" i="8"/>
  <c r="O26" i="8"/>
  <c r="R25" i="8"/>
  <c r="P5" i="8"/>
  <c r="O39" i="8"/>
  <c r="Q32" i="8"/>
  <c r="Q34" i="8"/>
  <c r="R27" i="8"/>
  <c r="Q38" i="8"/>
  <c r="P34" i="8"/>
  <c r="Q37" i="8"/>
  <c r="M5" i="8"/>
  <c r="P12" i="8"/>
  <c r="R29" i="8"/>
  <c r="P18" i="8"/>
  <c r="P31" i="8"/>
  <c r="N16" i="8"/>
  <c r="Q5" i="8"/>
  <c r="M15" i="8"/>
  <c r="R31" i="8"/>
  <c r="L26" i="8"/>
  <c r="N32" i="8"/>
  <c r="R14" i="8"/>
  <c r="R26" i="8"/>
  <c r="L38" i="8"/>
  <c r="L36" i="8"/>
  <c r="R36" i="8"/>
  <c r="N5" i="8"/>
  <c r="O30" i="8"/>
  <c r="O35" i="8"/>
  <c r="L12" i="8"/>
  <c r="L19" i="8"/>
  <c r="L14" i="8"/>
  <c r="N38" i="8"/>
  <c r="R30" i="8"/>
  <c r="M17" i="8"/>
  <c r="O38" i="8"/>
  <c r="N17" i="8"/>
  <c r="P17" i="8"/>
  <c r="L15" i="8"/>
  <c r="L32" i="8" l="1"/>
  <c r="P32" i="8"/>
  <c r="N37" i="8"/>
  <c r="Q11" i="8"/>
  <c r="Q31" i="8"/>
  <c r="L39" i="8"/>
  <c r="M18" i="8"/>
  <c r="L34" i="8"/>
  <c r="D20" i="8"/>
  <c r="N19" i="8"/>
  <c r="N39" i="8"/>
  <c r="Q13" i="8"/>
  <c r="Q33" i="8"/>
  <c r="N25" i="8"/>
  <c r="D40" i="8"/>
  <c r="O25" i="8"/>
  <c r="E40" i="8"/>
  <c r="P37" i="8"/>
  <c r="Q19" i="8"/>
  <c r="Q39" i="8"/>
  <c r="B20" i="8"/>
  <c r="L5" i="8"/>
  <c r="P19" i="8"/>
  <c r="P39" i="8"/>
  <c r="Q25" i="8"/>
  <c r="G40" i="8"/>
  <c r="L35" i="8"/>
  <c r="F20" i="8"/>
  <c r="M37" i="8"/>
  <c r="M35" i="8"/>
  <c r="G20" i="8"/>
  <c r="R34" i="8"/>
  <c r="N36" i="8"/>
  <c r="R12" i="8"/>
  <c r="R32" i="8"/>
  <c r="H20" i="8"/>
  <c r="N15" i="8"/>
  <c r="N35" i="8"/>
  <c r="H40" i="8"/>
  <c r="M25" i="8"/>
  <c r="C40" i="8"/>
  <c r="B40" i="8"/>
  <c r="L25" i="8"/>
  <c r="P15" i="8"/>
  <c r="P35" i="8"/>
  <c r="M16" i="8"/>
  <c r="M36" i="8"/>
  <c r="Q15" i="8"/>
  <c r="Q35" i="8"/>
  <c r="P38" i="8"/>
  <c r="E20" i="8"/>
  <c r="O5" i="8"/>
  <c r="L20" i="8" l="1"/>
  <c r="R20" i="8"/>
  <c r="P20" i="8"/>
  <c r="Q20" i="8"/>
  <c r="R40" i="8"/>
  <c r="N40" i="8"/>
  <c r="O20" i="8"/>
  <c r="N20" i="8"/>
  <c r="M14" i="8"/>
  <c r="C20" i="8"/>
  <c r="L40" i="8"/>
  <c r="P25" i="8"/>
  <c r="F40" i="8"/>
  <c r="Q40" i="8"/>
  <c r="O40" i="8"/>
  <c r="M38" i="8"/>
  <c r="M34" i="8"/>
  <c r="P40" i="8" l="1"/>
  <c r="M20" i="8"/>
  <c r="M40" i="8"/>
  <c r="K30" i="7" l="1"/>
  <c r="L10" i="9"/>
  <c r="K10" i="7"/>
  <c r="K14" i="7"/>
  <c r="K17" i="7"/>
  <c r="K15" i="7"/>
  <c r="K16" i="7"/>
  <c r="K29" i="7"/>
  <c r="L9" i="9"/>
  <c r="K9" i="7"/>
  <c r="K26" i="7"/>
  <c r="L6" i="9"/>
  <c r="K6" i="7"/>
  <c r="K11" i="7"/>
  <c r="K27" i="7"/>
  <c r="L7" i="9"/>
  <c r="K7" i="7"/>
  <c r="O12" i="7" l="1"/>
  <c r="P14" i="7"/>
  <c r="Q13" i="7"/>
  <c r="M18" i="7"/>
  <c r="Q16" i="7"/>
  <c r="L15" i="7"/>
  <c r="L13" i="9"/>
  <c r="K33" i="7"/>
  <c r="Q19" i="7"/>
  <c r="M15" i="7"/>
  <c r="O11" i="7"/>
  <c r="L17" i="9"/>
  <c r="K37" i="7"/>
  <c r="N13" i="7"/>
  <c r="L10" i="7"/>
  <c r="Q15" i="7"/>
  <c r="P9" i="7"/>
  <c r="L11" i="7"/>
  <c r="K31" i="7"/>
  <c r="L11" i="9"/>
  <c r="K28" i="7"/>
  <c r="L8" i="9"/>
  <c r="K8" i="7"/>
  <c r="L19" i="7"/>
  <c r="O18" i="7"/>
  <c r="L16" i="9"/>
  <c r="K36" i="7"/>
  <c r="L14" i="9"/>
  <c r="K34" i="7"/>
  <c r="K18" i="7"/>
  <c r="M17" i="7"/>
  <c r="P15" i="7"/>
  <c r="N29" i="7"/>
  <c r="O9" i="9"/>
  <c r="N9" i="7"/>
  <c r="K19" i="7"/>
  <c r="L15" i="9"/>
  <c r="K35" i="7"/>
  <c r="K12" i="7"/>
  <c r="L12" i="7"/>
  <c r="N15" i="7"/>
  <c r="L19" i="9"/>
  <c r="K39" i="7"/>
  <c r="K13" i="7"/>
  <c r="Q17" i="7" l="1"/>
  <c r="N6" i="7"/>
  <c r="M19" i="7"/>
  <c r="Q14" i="7"/>
  <c r="M9" i="7"/>
  <c r="M12" i="7"/>
  <c r="Q6" i="7"/>
  <c r="N16" i="7"/>
  <c r="Q8" i="7"/>
  <c r="L8" i="7"/>
  <c r="O10" i="7"/>
  <c r="P19" i="7"/>
  <c r="L18" i="7"/>
  <c r="M7" i="7"/>
  <c r="L7" i="7"/>
  <c r="O7" i="7"/>
  <c r="L17" i="7"/>
  <c r="O19" i="7"/>
  <c r="Q18" i="7"/>
  <c r="P16" i="7"/>
  <c r="P7" i="7"/>
  <c r="M8" i="7"/>
  <c r="N30" i="7"/>
  <c r="O10" i="9"/>
  <c r="R16" i="9"/>
  <c r="Q36" i="7"/>
  <c r="P38" i="7"/>
  <c r="Q18" i="9"/>
  <c r="O37" i="7"/>
  <c r="P17" i="9"/>
  <c r="L26" i="7"/>
  <c r="M6" i="9"/>
  <c r="M26" i="7"/>
  <c r="N6" i="9"/>
  <c r="Q39" i="7"/>
  <c r="R19" i="9"/>
  <c r="P32" i="7"/>
  <c r="Q12" i="9"/>
  <c r="N39" i="7"/>
  <c r="O19" i="9"/>
  <c r="P26" i="7"/>
  <c r="Q6" i="9"/>
  <c r="M33" i="7"/>
  <c r="N13" i="9"/>
  <c r="O26" i="7"/>
  <c r="P6" i="9"/>
  <c r="O28" i="7"/>
  <c r="P8" i="9"/>
  <c r="Q17" i="9"/>
  <c r="P37" i="7"/>
  <c r="P12" i="7"/>
  <c r="E20" i="7"/>
  <c r="N5" i="7"/>
  <c r="P16" i="9"/>
  <c r="O36" i="7"/>
  <c r="M16" i="9"/>
  <c r="L36" i="7"/>
  <c r="Q16" i="9"/>
  <c r="P36" i="7"/>
  <c r="P18" i="7"/>
  <c r="L18" i="9"/>
  <c r="K38" i="7"/>
  <c r="G20" i="7"/>
  <c r="H20" i="7"/>
  <c r="P15" i="9"/>
  <c r="O35" i="7"/>
  <c r="O14" i="9"/>
  <c r="N34" i="7"/>
  <c r="N15" i="9"/>
  <c r="M35" i="7"/>
  <c r="Q34" i="7"/>
  <c r="R14" i="9"/>
  <c r="L29" i="7"/>
  <c r="M9" i="9"/>
  <c r="N31" i="7"/>
  <c r="O11" i="9"/>
  <c r="N35" i="7"/>
  <c r="O15" i="9"/>
  <c r="P35" i="7"/>
  <c r="Q15" i="9"/>
  <c r="M29" i="7"/>
  <c r="N9" i="9"/>
  <c r="R15" i="9"/>
  <c r="Q35" i="7"/>
  <c r="M19" i="9"/>
  <c r="L39" i="7"/>
  <c r="O8" i="7"/>
  <c r="O15" i="7"/>
  <c r="N19" i="7"/>
  <c r="P6" i="7"/>
  <c r="Q28" i="7"/>
  <c r="R8" i="9"/>
  <c r="L28" i="7"/>
  <c r="M8" i="9"/>
  <c r="Q19" i="9"/>
  <c r="P39" i="7"/>
  <c r="P13" i="9"/>
  <c r="O33" i="7"/>
  <c r="L31" i="7"/>
  <c r="M11" i="9"/>
  <c r="L27" i="7"/>
  <c r="M7" i="9"/>
  <c r="M14" i="9"/>
  <c r="L34" i="7"/>
  <c r="K32" i="7"/>
  <c r="L12" i="9"/>
  <c r="P19" i="9"/>
  <c r="O39" i="7"/>
  <c r="P31" i="7"/>
  <c r="Q11" i="9"/>
  <c r="P30" i="7"/>
  <c r="Q10" i="9"/>
  <c r="P27" i="7"/>
  <c r="Q7" i="9"/>
  <c r="M31" i="7"/>
  <c r="N11" i="9"/>
  <c r="N37" i="7"/>
  <c r="O17" i="9"/>
  <c r="M30" i="7"/>
  <c r="N10" i="9"/>
  <c r="M38" i="7"/>
  <c r="N18" i="9"/>
  <c r="M13" i="9"/>
  <c r="L33" i="7"/>
  <c r="Q31" i="7"/>
  <c r="R11" i="9"/>
  <c r="M28" i="7"/>
  <c r="N8" i="9"/>
  <c r="Q37" i="7"/>
  <c r="R17" i="9"/>
  <c r="N32" i="7"/>
  <c r="O12" i="9"/>
  <c r="P10" i="7"/>
  <c r="M10" i="7"/>
  <c r="O6" i="7"/>
  <c r="N12" i="7"/>
  <c r="O13" i="7"/>
  <c r="O17" i="7"/>
  <c r="O16" i="7"/>
  <c r="L14" i="7"/>
  <c r="O18" i="9"/>
  <c r="N38" i="7"/>
  <c r="N14" i="9"/>
  <c r="M34" i="7"/>
  <c r="O34" i="7"/>
  <c r="P14" i="9"/>
  <c r="M36" i="7"/>
  <c r="N16" i="9"/>
  <c r="O14" i="7"/>
  <c r="M14" i="7"/>
  <c r="Q29" i="7"/>
  <c r="R9" i="9"/>
  <c r="O29" i="7"/>
  <c r="P9" i="9"/>
  <c r="R18" i="9"/>
  <c r="Q38" i="7"/>
  <c r="M17" i="9"/>
  <c r="L37" i="7"/>
  <c r="O31" i="7"/>
  <c r="P11" i="9"/>
  <c r="Q27" i="7"/>
  <c r="R7" i="9"/>
  <c r="Q30" i="7"/>
  <c r="R10" i="9"/>
  <c r="L30" i="7"/>
  <c r="M10" i="9"/>
  <c r="N26" i="7"/>
  <c r="N27" i="7"/>
  <c r="O7" i="9"/>
  <c r="P29" i="7"/>
  <c r="Q9" i="9"/>
  <c r="N28" i="7"/>
  <c r="O8" i="9"/>
  <c r="N19" i="9"/>
  <c r="M39" i="7"/>
  <c r="P18" i="9"/>
  <c r="O38" i="7"/>
  <c r="N7" i="7"/>
  <c r="Q11" i="7"/>
  <c r="N14" i="7"/>
  <c r="M13" i="7"/>
  <c r="M16" i="7"/>
  <c r="M11" i="7"/>
  <c r="Q7" i="7"/>
  <c r="N8" i="7"/>
  <c r="N18" i="7"/>
  <c r="N10" i="7"/>
  <c r="L16" i="7"/>
  <c r="D20" i="7"/>
  <c r="O16" i="9"/>
  <c r="N36" i="7"/>
  <c r="O30" i="7"/>
  <c r="P10" i="9"/>
  <c r="M18" i="9"/>
  <c r="L38" i="7"/>
  <c r="M27" i="7"/>
  <c r="N7" i="9"/>
  <c r="O27" i="7"/>
  <c r="P7" i="9"/>
  <c r="P28" i="7"/>
  <c r="Q8" i="9"/>
  <c r="P8" i="7"/>
  <c r="F20" i="7"/>
  <c r="C20" i="7"/>
  <c r="M32" i="7"/>
  <c r="N12" i="9"/>
  <c r="Q14" i="9"/>
  <c r="P34" i="7"/>
  <c r="Q32" i="7"/>
  <c r="R12" i="9"/>
  <c r="Q26" i="7"/>
  <c r="R6" i="9"/>
  <c r="M15" i="9"/>
  <c r="L35" i="7"/>
  <c r="Q33" i="7"/>
  <c r="R13" i="9"/>
  <c r="L32" i="7"/>
  <c r="M12" i="9"/>
  <c r="N17" i="9"/>
  <c r="M37" i="7"/>
  <c r="O32" i="7"/>
  <c r="P12" i="9"/>
  <c r="N33" i="7"/>
  <c r="O13" i="9"/>
  <c r="P33" i="7"/>
  <c r="Q13" i="9"/>
  <c r="O9" i="7"/>
  <c r="L13" i="7"/>
  <c r="Q9" i="7"/>
  <c r="P11" i="7"/>
  <c r="Q12" i="7"/>
  <c r="P17" i="7"/>
  <c r="P13" i="7"/>
  <c r="N17" i="7"/>
  <c r="M6" i="7"/>
  <c r="L6" i="7"/>
  <c r="L9" i="7"/>
  <c r="N11" i="7"/>
  <c r="Q10" i="7"/>
  <c r="M5" i="7" l="1"/>
  <c r="O5" i="7"/>
  <c r="Q25" i="7"/>
  <c r="R5" i="9"/>
  <c r="L25" i="7"/>
  <c r="M5" i="9"/>
  <c r="N25" i="7"/>
  <c r="O5" i="9"/>
  <c r="B20" i="7"/>
  <c r="K5" i="7"/>
  <c r="M25" i="7"/>
  <c r="N5" i="9"/>
  <c r="K25" i="7"/>
  <c r="L5" i="9"/>
  <c r="Q5" i="7"/>
  <c r="P25" i="7"/>
  <c r="Q5" i="9"/>
  <c r="P5" i="7"/>
  <c r="L5" i="7"/>
  <c r="O25" i="7"/>
  <c r="P5" i="9"/>
  <c r="M20" i="7" l="1"/>
  <c r="L20" i="7"/>
  <c r="P20" i="7"/>
  <c r="Q20" i="7"/>
  <c r="O20" i="7"/>
  <c r="O40" i="7"/>
  <c r="P20" i="9"/>
  <c r="K40" i="7"/>
  <c r="L20" i="9"/>
  <c r="K20" i="7"/>
  <c r="Q20" i="9"/>
  <c r="P40" i="7"/>
  <c r="R20" i="9"/>
  <c r="Q40" i="7"/>
  <c r="N20" i="7"/>
  <c r="N40" i="7"/>
  <c r="O20" i="9"/>
  <c r="M20" i="9"/>
  <c r="L40" i="7"/>
  <c r="M40" i="7"/>
  <c r="N20"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9746BF-190C-42D9-8386-84DA168917FA}" keepAlive="1" name="Query - COHORT_COMP_2021 - update_Components Test UPDATED - EJH 1_7_22 xlsx" description="Connection to the 'COHORT_COMP_2021 - update_Components Test UPDATED - EJH 1_7_22 xlsx' query in the workbook." type="5" refreshedVersion="0" background="1">
    <dbPr connection="Provider=Microsoft.Mashup.OleDb.1;Data Source=$Workbook$;Location=&quot;COHORT_COMP_2021 - update_Components Test UPDATED - EJH 1_7_22 xlsx&quot;;Extended Properties=&quot;&quot;" command="SELECT * FROM [COHORT_COMP_2021 - update_Components Test UPDATED - EJH 1_7_22 xlsx]"/>
  </connection>
</connections>
</file>

<file path=xl/sharedStrings.xml><?xml version="1.0" encoding="utf-8"?>
<sst xmlns="http://schemas.openxmlformats.org/spreadsheetml/2006/main" count="1713" uniqueCount="150">
  <si>
    <t>COUNTY</t>
  </si>
  <si>
    <t>CATEGORY</t>
  </si>
  <si>
    <t>VARIABLE</t>
  </si>
  <si>
    <t>Employment</t>
  </si>
  <si>
    <t>Industrial Employment</t>
  </si>
  <si>
    <t>Office Employment</t>
  </si>
  <si>
    <t>Other Employment</t>
  </si>
  <si>
    <t>Retail Goods Employment</t>
  </si>
  <si>
    <t>Retail Services Employment</t>
  </si>
  <si>
    <t>Total Employment</t>
  </si>
  <si>
    <t>Population</t>
  </si>
  <si>
    <t>Group Quarters Population</t>
  </si>
  <si>
    <t>Household Population</t>
  </si>
  <si>
    <t>Households</t>
  </si>
  <si>
    <t>Housing Units</t>
  </si>
  <si>
    <t>Labor Force</t>
  </si>
  <si>
    <t>Population Under 18</t>
  </si>
  <si>
    <t>Workers</t>
  </si>
  <si>
    <t>Delaware</t>
  </si>
  <si>
    <t>Fairfield</t>
  </si>
  <si>
    <t>Franklin</t>
  </si>
  <si>
    <t>Licking</t>
  </si>
  <si>
    <t>Madison</t>
  </si>
  <si>
    <t>Pickaway</t>
  </si>
  <si>
    <t>Union</t>
  </si>
  <si>
    <t>Variable</t>
  </si>
  <si>
    <t>Population living in group quarters (non-households such as dormitories, nursing homes, or correctional facilities)</t>
  </si>
  <si>
    <t>Population living in households</t>
  </si>
  <si>
    <t>Occupied housing units</t>
  </si>
  <si>
    <t>Occupied and vacant housing units</t>
  </si>
  <si>
    <t>Jobs related to industrial industries and/or land uses (e.g. warehousing, manufacturing)</t>
  </si>
  <si>
    <t>Residents participating in the labor force (either employed or actively seeking work)</t>
  </si>
  <si>
    <t>Jobs related to office industries and/or land uses (e.g. finance, headquarters, medical offices)</t>
  </si>
  <si>
    <t>Jobs related to other industries and/or land uses (e.g. hospitals, schools and universities, agriculture)</t>
  </si>
  <si>
    <t>Population living in households and group quarters</t>
  </si>
  <si>
    <t>Variable Description</t>
  </si>
  <si>
    <t>Population under age 18</t>
  </si>
  <si>
    <t>Jobs related to retail goods industries and/or land uses (e.g. grocery stores, clothing stores, hardware stores)</t>
  </si>
  <si>
    <t>Jobs related to retail services industries and/or land uses (e.g. restaurants, dry cleaners)</t>
  </si>
  <si>
    <t>Total jobs</t>
  </si>
  <si>
    <t>Residents employed with one or more jobs</t>
  </si>
  <si>
    <t>Total Population</t>
  </si>
  <si>
    <r>
      <t xml:space="preserve">Population by Age </t>
    </r>
    <r>
      <rPr>
        <sz val="12"/>
        <color theme="1" tint="0.34998626667073579"/>
        <rFont val="Arial"/>
        <family val="2"/>
      </rPr>
      <t>Under 18</t>
    </r>
  </si>
  <si>
    <r>
      <t xml:space="preserve">Population by Age </t>
    </r>
    <r>
      <rPr>
        <sz val="12"/>
        <color theme="1" tint="0.34998626667073579"/>
        <rFont val="Arial"/>
        <family val="2"/>
      </rPr>
      <t>18 - 64</t>
    </r>
  </si>
  <si>
    <t>Fayette</t>
  </si>
  <si>
    <t>Hocking</t>
  </si>
  <si>
    <t>Knox</t>
  </si>
  <si>
    <t>Logan</t>
  </si>
  <si>
    <t>Marion</t>
  </si>
  <si>
    <t>Morrow</t>
  </si>
  <si>
    <t>Perry</t>
  </si>
  <si>
    <t>Ross</t>
  </si>
  <si>
    <t>Population by Age</t>
  </si>
  <si>
    <t>15-County Region</t>
  </si>
  <si>
    <r>
      <t xml:space="preserve">Population by Age </t>
    </r>
    <r>
      <rPr>
        <sz val="12"/>
        <color theme="1" tint="0.34998626667073579"/>
        <rFont val="Arial"/>
        <family val="2"/>
      </rPr>
      <t>65 and older</t>
    </r>
  </si>
  <si>
    <t>Population Ages 18 - 64</t>
  </si>
  <si>
    <t>Population Ages 65 and older</t>
  </si>
  <si>
    <t>Population Ages under 18</t>
  </si>
  <si>
    <r>
      <t xml:space="preserve">County Growth Projections </t>
    </r>
    <r>
      <rPr>
        <sz val="16"/>
        <color theme="1" tint="0.34998626667073579"/>
        <rFont val="Arial"/>
        <family val="2"/>
      </rPr>
      <t>Total Population</t>
    </r>
  </si>
  <si>
    <r>
      <t xml:space="preserve">County Growth Projections </t>
    </r>
    <r>
      <rPr>
        <sz val="16"/>
        <color theme="1" tint="0.34998626667073579"/>
        <rFont val="Arial"/>
        <family val="2"/>
      </rPr>
      <t>Population by Age</t>
    </r>
  </si>
  <si>
    <t>Estimate</t>
  </si>
  <si>
    <t>Projections</t>
  </si>
  <si>
    <t>Share of Total Population</t>
  </si>
  <si>
    <t>Population in Households and Group Quarters</t>
  </si>
  <si>
    <t>Households and Housing Units</t>
  </si>
  <si>
    <t>Residential Labor Force</t>
  </si>
  <si>
    <r>
      <t xml:space="preserve">Population </t>
    </r>
    <r>
      <rPr>
        <sz val="12"/>
        <color theme="1" tint="0.34998626667073579"/>
        <rFont val="Arial"/>
        <family val="2"/>
      </rPr>
      <t>in Households</t>
    </r>
  </si>
  <si>
    <r>
      <t xml:space="preserve">County Growth Projections </t>
    </r>
    <r>
      <rPr>
        <sz val="16"/>
        <color theme="1" tint="0.34998626667073579"/>
        <rFont val="Arial"/>
        <family val="2"/>
      </rPr>
      <t>Population in Group Quarters and Households</t>
    </r>
  </si>
  <si>
    <r>
      <t xml:space="preserve">County Growth Projections </t>
    </r>
    <r>
      <rPr>
        <sz val="16"/>
        <color theme="1" tint="0.34998626667073579"/>
        <rFont val="Arial"/>
        <family val="2"/>
      </rPr>
      <t>Residential Labor Force</t>
    </r>
  </si>
  <si>
    <r>
      <t xml:space="preserve">Residential </t>
    </r>
    <r>
      <rPr>
        <sz val="12"/>
        <color theme="1" tint="0.34998626667073579"/>
        <rFont val="Arial"/>
        <family val="2"/>
      </rPr>
      <t>Labor Force</t>
    </r>
  </si>
  <si>
    <r>
      <t xml:space="preserve">Residential </t>
    </r>
    <r>
      <rPr>
        <sz val="12"/>
        <color theme="1" tint="0.34998626667073579"/>
        <rFont val="Arial"/>
        <family val="2"/>
      </rPr>
      <t>Employed Workers</t>
    </r>
  </si>
  <si>
    <r>
      <t xml:space="preserve">County Growth Projections </t>
    </r>
    <r>
      <rPr>
        <sz val="16"/>
        <color theme="1" tint="0.34998626667073579"/>
        <rFont val="Arial"/>
        <family val="2"/>
      </rPr>
      <t>Households and Housing Units</t>
    </r>
  </si>
  <si>
    <t>Total Jobs</t>
  </si>
  <si>
    <r>
      <t>Population</t>
    </r>
    <r>
      <rPr>
        <sz val="12"/>
        <color theme="1" tint="0.34998626667073579"/>
        <rFont val="Arial"/>
        <family val="2"/>
      </rPr>
      <t xml:space="preserve"> in Group Quarters (1)</t>
    </r>
  </si>
  <si>
    <t>Group quarters are non-household living arrangements such as dormitories, nursing homes, or correctional facilities</t>
  </si>
  <si>
    <t>Share of Total Jobs</t>
  </si>
  <si>
    <t>Average Household Size (1)</t>
  </si>
  <si>
    <t>Occupancy Rate (2)</t>
  </si>
  <si>
    <t>Share of 18 - 64 Population (1)</t>
  </si>
  <si>
    <r>
      <t xml:space="preserve">County Growth Projections </t>
    </r>
    <r>
      <rPr>
        <sz val="16"/>
        <color theme="1" tint="0.34998626667073579"/>
        <rFont val="Arial"/>
        <family val="2"/>
      </rPr>
      <t>Jobs</t>
    </r>
  </si>
  <si>
    <t>Share of Total Jobs (2)</t>
  </si>
  <si>
    <t>Share of Total Population (2)</t>
  </si>
  <si>
    <r>
      <t xml:space="preserve">Industrial Jobs </t>
    </r>
    <r>
      <rPr>
        <sz val="12"/>
        <color theme="1" tint="0.34998626667073579"/>
        <rFont val="Arial"/>
        <family val="2"/>
      </rPr>
      <t>Jobs related to industrial industries and/or land uses (e.g. warehousing, manufacturing)</t>
    </r>
  </si>
  <si>
    <r>
      <t xml:space="preserve">Retail Goods Jobs </t>
    </r>
    <r>
      <rPr>
        <sz val="12"/>
        <color theme="1" tint="0.34998626667073579"/>
        <rFont val="Arial"/>
        <family val="2"/>
      </rPr>
      <t>Jobs related to retail goods industries and/or land uses (e.g. grocery stores, clothing stores, hardware stores)</t>
    </r>
  </si>
  <si>
    <r>
      <t xml:space="preserve">Retail Service Jobs </t>
    </r>
    <r>
      <rPr>
        <sz val="12"/>
        <color theme="1" tint="0.34998626667073579"/>
        <rFont val="Arial"/>
        <family val="2"/>
      </rPr>
      <t>Jobs related to retail services industries and/or land uses (e.g. restaurants, dry cleaners)</t>
    </r>
  </si>
  <si>
    <r>
      <t xml:space="preserve">Other Jobs </t>
    </r>
    <r>
      <rPr>
        <sz val="12"/>
        <color theme="1" tint="0.34998626667073579"/>
        <rFont val="Arial"/>
        <family val="2"/>
      </rPr>
      <t>Jobs related to other industries and/or land uses (e.g. hospitals, schools and universities, agriculture)</t>
    </r>
  </si>
  <si>
    <t>Total</t>
  </si>
  <si>
    <t>Unemployment Rate</t>
  </si>
  <si>
    <t>Delaware, Fairfield, Fayette, Franklin, Hocking, Knox, Licking, Logan, Madison, Marion, Morrow, Perry, Pickaway, Ross, and Union counties in Ohio</t>
  </si>
  <si>
    <t>Household Population Under 18</t>
  </si>
  <si>
    <t>Household Population 18 - 64</t>
  </si>
  <si>
    <t>Household Population 65 and Older</t>
  </si>
  <si>
    <t>County Growth Projections Household Population by Age</t>
  </si>
  <si>
    <t>Household Population by Age Under 18</t>
  </si>
  <si>
    <t>Share of Total Household Population</t>
  </si>
  <si>
    <t>Household Population by Age 18 - 64</t>
  </si>
  <si>
    <t>Household Population by Age 65 and older</t>
  </si>
  <si>
    <t>10-County Region</t>
  </si>
  <si>
    <t>Forecast</t>
  </si>
  <si>
    <t>Estimate (1)</t>
  </si>
  <si>
    <t>Forecast (2)</t>
  </si>
  <si>
    <t>Confidence Limit (upper)</t>
  </si>
  <si>
    <t>Confidence Limit (lower)</t>
  </si>
  <si>
    <t>Confidence Interval (upper)</t>
  </si>
  <si>
    <t>Confidence Interval (lower)</t>
  </si>
  <si>
    <t>Confidence Limit (upper) (3)</t>
  </si>
  <si>
    <t>Confidence Limit (lower) (3)</t>
  </si>
  <si>
    <t>Confidence Interval (upper) (4)</t>
  </si>
  <si>
    <t xml:space="preserve">Confidence Interval (lower) (4) </t>
  </si>
  <si>
    <t>The confidence intervals represent the difference between the forecast and the upper confidence limit and the forecast and the lower confidence limit.</t>
  </si>
  <si>
    <t>Population - Confidence Limit (upper)</t>
  </si>
  <si>
    <t>Population - Confidence Limit (lower)</t>
  </si>
  <si>
    <t>Updated January 9, 2023</t>
  </si>
  <si>
    <t>CAGR, or Compound Annual Growth Rate, calculated as (value at end of period / value at beginning of period) ^ (1/ number of years in period) - 1</t>
  </si>
  <si>
    <t>Growth</t>
  </si>
  <si>
    <t>% Growth</t>
  </si>
  <si>
    <t>CAGR (5)</t>
  </si>
  <si>
    <t>CAGR</t>
  </si>
  <si>
    <t>Historic Growth Overview</t>
  </si>
  <si>
    <t>Projected Growth Overview</t>
  </si>
  <si>
    <t>1980 - 2021</t>
  </si>
  <si>
    <t>2021 - 2050</t>
  </si>
  <si>
    <t>Historic population</t>
  </si>
  <si>
    <t>Forecasted population</t>
  </si>
  <si>
    <t>Confidence limit</t>
  </si>
  <si>
    <t>County</t>
  </si>
  <si>
    <t>Population - 80% Prediction Interval (+)</t>
  </si>
  <si>
    <t>Population - 80% Prediction Interval (-)</t>
  </si>
  <si>
    <t>Historic population estimates are sourced from the Census Population Estimates Program</t>
  </si>
  <si>
    <t>Forecasts are derived from historic patterns and major expected economic developments.</t>
  </si>
  <si>
    <t>The confidence limits represent the highest and lowest expected population based exclusively on historic patterns.  Unprecedented circumstances may cause the forecasted population to exceed these limits.</t>
  </si>
  <si>
    <t>Group quarters is assumed as a fixed share of the total population in the future.</t>
  </si>
  <si>
    <t>Average Household Size is assumed as a fixed value, by county.  See methods document for more information.</t>
  </si>
  <si>
    <t>Occupancy rate is assumed as a fixed value, by county.  See methods document for more information.</t>
  </si>
  <si>
    <t>Labor force is estimated based on participation among age groups from ages 16 - 79, though the vast majority of people in the labor force are between the ages of 18 and 64.</t>
  </si>
  <si>
    <r>
      <t xml:space="preserve">Office Jobs </t>
    </r>
    <r>
      <rPr>
        <sz val="12"/>
        <color theme="1" tint="0.34998626667073579"/>
        <rFont val="Arial"/>
        <family val="2"/>
      </rPr>
      <t>Jobs related to office industries and/or land uses (e.g. finance, headquarters, medical offices)</t>
    </r>
  </si>
  <si>
    <t>Delaware, Fairfield, Franklin, Knox, Licking, Madison, Marion, Morrow, Pickaway, and Union counties in Ohio</t>
  </si>
  <si>
    <t>Updated May 11, 2023</t>
  </si>
  <si>
    <t>Date</t>
  </si>
  <si>
    <t>Description of changes</t>
  </si>
  <si>
    <t>Sheet affected</t>
  </si>
  <si>
    <t>Jobs</t>
  </si>
  <si>
    <t>Updated jobs forecasts to better account for sole proprietors.</t>
  </si>
  <si>
    <t>Corrected misallocation of jobs related to specific economic developments.  Previously all jobs (direct and induced) associated with an economic development were allocated amongst all counties in the region according to population density and travel time to the facility.  This change reallocated *direct jobs only* from other counties back to the county where the development is located based on the assumption that most workers at these developments will travel to the facility for work.  Induced jobs remain allocated as before based on the assumption that most of these jobs will be located where people live.</t>
  </si>
  <si>
    <t>Updated May 12, 2023</t>
  </si>
  <si>
    <t>Group Quarters and Households
Household Population by Age</t>
  </si>
  <si>
    <t>Upper confidence limit for for population projections.</t>
  </si>
  <si>
    <t xml:space="preserve">Lower confidence limit for for population projections. </t>
  </si>
  <si>
    <t>Corrected error in computation of group quarters population, total household population, and household population by age.</t>
  </si>
  <si>
    <t>Updated May 26,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</si>
</sst>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0.0%"/>
    <numFmt numFmtId="166" formatCode="_(* #,##0.000000_);_(* \(#,##0.000000\);_(* &quot;-&quot;??_);_(@_)"/>
  </numFmts>
  <fonts count="35" x14ac:knownFonts="1">
    <font>
      <sz val="11"/>
      <color theme="1"/>
      <name val="Calibri"/>
      <family val="2"/>
      <scheme val="minor"/>
    </font>
    <font>
      <b/>
      <sz val="11"/>
      <color theme="1"/>
      <name val="Calibri"/>
      <family val="2"/>
      <scheme val="minor"/>
    </font>
    <font>
      <sz val="11"/>
      <color theme="1"/>
      <name val="Calibri"/>
      <family val="2"/>
      <scheme val="minor"/>
    </font>
    <font>
      <b/>
      <sz val="12"/>
      <color theme="1" tint="0.34998626667073579"/>
      <name val="Arial"/>
      <family val="2"/>
    </font>
    <font>
      <b/>
      <sz val="11"/>
      <color theme="1" tint="0.34998626667073579"/>
      <name val="Arial"/>
      <family val="2"/>
    </font>
    <font>
      <sz val="10"/>
      <color theme="1"/>
      <name val="Calibri"/>
      <family val="2"/>
      <scheme val="minor"/>
    </font>
    <font>
      <sz val="8"/>
      <color theme="1"/>
      <name val="Calibri"/>
      <family val="2"/>
      <scheme val="minor"/>
    </font>
    <font>
      <b/>
      <sz val="16"/>
      <color theme="1" tint="0.34998626667073579"/>
      <name val="Arial"/>
      <family val="2"/>
    </font>
    <font>
      <sz val="11"/>
      <color theme="1" tint="0.34998626667073579"/>
      <name val="Calibri"/>
      <family val="2"/>
      <scheme val="minor"/>
    </font>
    <font>
      <b/>
      <sz val="10"/>
      <color theme="1" tint="0.34998626667073579"/>
      <name val="Arial"/>
      <family val="2"/>
    </font>
    <font>
      <sz val="11"/>
      <color theme="1" tint="0.14999847407452621"/>
      <name val="Calibri"/>
      <family val="2"/>
      <scheme val="minor"/>
    </font>
    <font>
      <sz val="11"/>
      <color theme="1" tint="0.499984740745262"/>
      <name val="Calibri"/>
      <family val="2"/>
      <scheme val="minor"/>
    </font>
    <font>
      <b/>
      <sz val="8"/>
      <color theme="1" tint="0.34998626667073579"/>
      <name val="Arial"/>
      <family val="2"/>
    </font>
    <font>
      <b/>
      <sz val="11"/>
      <color theme="1" tint="0.14999847407452621"/>
      <name val="Calibri"/>
      <family val="2"/>
      <scheme val="minor"/>
    </font>
    <font>
      <b/>
      <sz val="10"/>
      <color theme="1" tint="0.14999847407452621"/>
      <name val="Arial"/>
      <family val="2"/>
    </font>
    <font>
      <sz val="12"/>
      <color theme="1" tint="0.34998626667073579"/>
      <name val="Arial"/>
      <family val="2"/>
    </font>
    <font>
      <b/>
      <sz val="11"/>
      <color rgb="FF35989D"/>
      <name val="Calibri"/>
      <family val="2"/>
      <scheme val="minor"/>
    </font>
    <font>
      <sz val="11"/>
      <color rgb="FF35989D"/>
      <name val="Calibri"/>
      <family val="2"/>
      <scheme val="minor"/>
    </font>
    <font>
      <sz val="16"/>
      <color theme="1" tint="0.34998626667073579"/>
      <name val="Arial"/>
      <family val="2"/>
    </font>
    <font>
      <sz val="10"/>
      <color rgb="FF35989D"/>
      <name val="Arial"/>
      <family val="2"/>
    </font>
    <font>
      <sz val="10"/>
      <color theme="1" tint="0.499984740745262"/>
      <name val="Arial"/>
      <family val="2"/>
    </font>
    <font>
      <sz val="8"/>
      <color theme="1"/>
      <name val="Arial"/>
      <family val="2"/>
    </font>
    <font>
      <sz val="9"/>
      <color theme="1"/>
      <name val="Arial"/>
      <family val="2"/>
    </font>
    <font>
      <b/>
      <sz val="10"/>
      <color theme="1" tint="0.249977111117893"/>
      <name val="Arial"/>
      <family val="2"/>
    </font>
    <font>
      <sz val="11"/>
      <color theme="1" tint="0.249977111117893"/>
      <name val="Calibri"/>
      <family val="2"/>
      <scheme val="minor"/>
    </font>
    <font>
      <sz val="10"/>
      <color theme="1" tint="0.249977111117893"/>
      <name val="Arial"/>
      <family val="2"/>
    </font>
    <font>
      <b/>
      <sz val="11"/>
      <color theme="1" tint="0.249977111117893"/>
      <name val="Calibri"/>
      <family val="2"/>
      <scheme val="minor"/>
    </font>
    <font>
      <b/>
      <sz val="11"/>
      <color theme="1" tint="0.34998626667073579"/>
      <name val="Calibri"/>
      <family val="2"/>
      <scheme val="minor"/>
    </font>
    <font>
      <sz val="10"/>
      <color theme="1" tint="0.34998626667073579"/>
      <name val="Arial"/>
      <family val="2"/>
    </font>
    <font>
      <i/>
      <sz val="11"/>
      <color theme="1"/>
      <name val="Calibri"/>
      <family val="2"/>
      <scheme val="minor"/>
    </font>
    <font>
      <sz val="11"/>
      <color theme="1"/>
      <name val="Calibri"/>
      <family val="2"/>
    </font>
    <font>
      <sz val="11"/>
      <color theme="1" tint="0.34998626667073579"/>
      <name val="Calibri"/>
      <family val="2"/>
    </font>
    <font>
      <b/>
      <sz val="8"/>
      <color rgb="FF35989D"/>
      <name val="Arial"/>
      <family val="2"/>
    </font>
    <font>
      <b/>
      <sz val="10"/>
      <color rgb="FF35989D"/>
      <name val="Arial"/>
      <family val="2"/>
    </font>
    <font>
      <b/>
      <sz val="11"/>
      <color rgb="FF35989D"/>
      <name val="Arial"/>
      <family val="2"/>
    </font>
  </fonts>
  <fills count="2">
    <fill>
      <patternFill patternType="none"/>
    </fill>
    <fill>
      <patternFill patternType="gray125"/>
    </fill>
  </fills>
  <borders count="2">
    <border>
      <left/>
      <right/>
      <top/>
      <bottom/>
      <diagonal/>
    </border>
    <border>
      <left/>
      <right/>
      <top style="thin">
        <color indexed="64"/>
      </top>
      <bottom/>
      <diagonal/>
    </border>
  </borders>
  <cellStyleXfs count="3">
    <xf numFmtId="0" fontId="0" fillId="0" borderId="0"/>
    <xf numFmtId="43" fontId="2" fillId="0" borderId="0" applyFont="0" applyFill="0" applyBorder="0" applyAlignment="0" applyProtection="0"/>
    <xf numFmtId="9" fontId="2" fillId="0" borderId="0" applyFont="0" applyFill="0" applyBorder="0" applyAlignment="0" applyProtection="0"/>
  </cellStyleXfs>
  <cellXfs count="94">
    <xf numFmtId="0" fontId="0" fillId="0" borderId="0" xfId="0"/>
    <xf numFmtId="0" fontId="1" fillId="0" borderId="0" xfId="0" applyFont="1" applyAlignment="1">
      <alignment horizontal="center"/>
    </xf>
    <xf numFmtId="164" fontId="0" fillId="0" borderId="0" xfId="0" applyNumberFormat="1"/>
    <xf numFmtId="0" fontId="1" fillId="0" borderId="0" xfId="0" applyFont="1"/>
    <xf numFmtId="0" fontId="4" fillId="0" borderId="0" xfId="0" applyFont="1" applyAlignment="1">
      <alignment horizontal="center"/>
    </xf>
    <xf numFmtId="0" fontId="5" fillId="0" borderId="0" xfId="0" applyFont="1"/>
    <xf numFmtId="0" fontId="6" fillId="0" borderId="0" xfId="0" applyFont="1"/>
    <xf numFmtId="0" fontId="8" fillId="0" borderId="0" xfId="0" applyFont="1"/>
    <xf numFmtId="164" fontId="0" fillId="0" borderId="0" xfId="1" applyNumberFormat="1" applyFont="1"/>
    <xf numFmtId="0" fontId="0" fillId="0" borderId="0" xfId="0" applyAlignment="1">
      <alignment vertical="center"/>
    </xf>
    <xf numFmtId="0" fontId="3" fillId="0" borderId="0" xfId="0" applyFont="1" applyAlignment="1">
      <alignment horizontal="left" vertical="center" wrapText="1"/>
    </xf>
    <xf numFmtId="0" fontId="14" fillId="0" borderId="0" xfId="0" applyFont="1" applyAlignment="1">
      <alignment horizontal="right"/>
    </xf>
    <xf numFmtId="164" fontId="13" fillId="0" borderId="0" xfId="0" applyNumberFormat="1" applyFont="1"/>
    <xf numFmtId="0" fontId="17" fillId="0" borderId="0" xfId="0" applyFont="1"/>
    <xf numFmtId="164" fontId="11" fillId="0" borderId="0" xfId="1" applyNumberFormat="1" applyFont="1" applyBorder="1"/>
    <xf numFmtId="164" fontId="17" fillId="0" borderId="0" xfId="1" applyNumberFormat="1" applyFont="1" applyBorder="1"/>
    <xf numFmtId="165" fontId="14" fillId="0" borderId="0" xfId="2" applyNumberFormat="1" applyFont="1" applyBorder="1" applyAlignment="1">
      <alignment horizontal="right"/>
    </xf>
    <xf numFmtId="165" fontId="13" fillId="0" borderId="0" xfId="2" applyNumberFormat="1" applyFont="1" applyBorder="1"/>
    <xf numFmtId="0" fontId="9" fillId="0" borderId="0" xfId="0" applyFont="1" applyAlignment="1">
      <alignment horizontal="center" vertical="center" wrapText="1"/>
    </xf>
    <xf numFmtId="0" fontId="13" fillId="0" borderId="0" xfId="0" applyFont="1"/>
    <xf numFmtId="0" fontId="16" fillId="0" borderId="0" xfId="0" applyFont="1"/>
    <xf numFmtId="0" fontId="21" fillId="0" borderId="0" xfId="0" applyFont="1"/>
    <xf numFmtId="0" fontId="22" fillId="0" borderId="0" xfId="0" applyFont="1"/>
    <xf numFmtId="166" fontId="0" fillId="0" borderId="0" xfId="0" applyNumberFormat="1"/>
    <xf numFmtId="165" fontId="19" fillId="0" borderId="0" xfId="2" applyNumberFormat="1" applyFont="1" applyBorder="1" applyAlignment="1">
      <alignment horizontal="right"/>
    </xf>
    <xf numFmtId="165" fontId="17" fillId="0" borderId="0" xfId="2" applyNumberFormat="1" applyFont="1" applyBorder="1"/>
    <xf numFmtId="165" fontId="20" fillId="0" borderId="0" xfId="2" applyNumberFormat="1" applyFont="1" applyBorder="1" applyAlignment="1">
      <alignment horizontal="right"/>
    </xf>
    <xf numFmtId="165" fontId="11" fillId="0" borderId="0" xfId="2" applyNumberFormat="1" applyFont="1" applyBorder="1"/>
    <xf numFmtId="0" fontId="23" fillId="0" borderId="0" xfId="0" applyFont="1" applyAlignment="1">
      <alignment horizontal="right"/>
    </xf>
    <xf numFmtId="164" fontId="24" fillId="0" borderId="0" xfId="1" applyNumberFormat="1" applyFont="1" applyFill="1"/>
    <xf numFmtId="165" fontId="25" fillId="0" borderId="0" xfId="2" applyNumberFormat="1" applyFont="1" applyFill="1" applyAlignment="1">
      <alignment horizontal="right"/>
    </xf>
    <xf numFmtId="164" fontId="24" fillId="0" borderId="0" xfId="1" applyNumberFormat="1" applyFont="1" applyFill="1" applyBorder="1"/>
    <xf numFmtId="0" fontId="23" fillId="0" borderId="1" xfId="0" applyFont="1" applyBorder="1" applyAlignment="1">
      <alignment horizontal="right"/>
    </xf>
    <xf numFmtId="164" fontId="26" fillId="0" borderId="1" xfId="0" applyNumberFormat="1" applyFont="1" applyBorder="1"/>
    <xf numFmtId="165" fontId="26" fillId="0" borderId="1" xfId="2" applyNumberFormat="1" applyFont="1" applyBorder="1"/>
    <xf numFmtId="0" fontId="14" fillId="0" borderId="1" xfId="0" applyFont="1" applyBorder="1" applyAlignment="1">
      <alignment horizontal="right"/>
    </xf>
    <xf numFmtId="0" fontId="9" fillId="0" borderId="0" xfId="0" applyFont="1" applyAlignment="1">
      <alignment horizontal="right"/>
    </xf>
    <xf numFmtId="164" fontId="8" fillId="0" borderId="0" xfId="1" applyNumberFormat="1" applyFont="1"/>
    <xf numFmtId="165" fontId="28" fillId="0" borderId="0" xfId="2" applyNumberFormat="1" applyFont="1" applyAlignment="1">
      <alignment horizontal="right"/>
    </xf>
    <xf numFmtId="164" fontId="8" fillId="0" borderId="0" xfId="1" applyNumberFormat="1" applyFont="1" applyBorder="1"/>
    <xf numFmtId="0" fontId="9" fillId="0" borderId="1" xfId="0" applyFont="1" applyBorder="1" applyAlignment="1">
      <alignment horizontal="right"/>
    </xf>
    <xf numFmtId="164" fontId="27" fillId="0" borderId="1" xfId="0" applyNumberFormat="1" applyFont="1" applyBorder="1"/>
    <xf numFmtId="165" fontId="27" fillId="0" borderId="1" xfId="2" applyNumberFormat="1" applyFont="1" applyBorder="1"/>
    <xf numFmtId="0" fontId="27" fillId="0" borderId="0" xfId="0" applyFont="1"/>
    <xf numFmtId="2" fontId="28" fillId="0" borderId="0" xfId="2" applyNumberFormat="1" applyFont="1" applyAlignment="1">
      <alignment horizontal="right"/>
    </xf>
    <xf numFmtId="2" fontId="27" fillId="0" borderId="1" xfId="2" applyNumberFormat="1" applyFont="1" applyBorder="1"/>
    <xf numFmtId="9" fontId="28" fillId="0" borderId="0" xfId="2" applyFont="1" applyAlignment="1">
      <alignment horizontal="right"/>
    </xf>
    <xf numFmtId="9" fontId="13" fillId="0" borderId="1" xfId="2" applyFont="1" applyBorder="1"/>
    <xf numFmtId="0" fontId="8" fillId="0" borderId="0" xfId="0" applyFont="1" applyAlignment="1">
      <alignment horizontal="right"/>
    </xf>
    <xf numFmtId="0" fontId="8" fillId="0" borderId="0" xfId="0" applyFont="1" applyAlignment="1">
      <alignment vertical="center"/>
    </xf>
    <xf numFmtId="0" fontId="29" fillId="0" borderId="0" xfId="0" applyFont="1"/>
    <xf numFmtId="0" fontId="9" fillId="0" borderId="0" xfId="0" applyFont="1" applyAlignment="1">
      <alignment vertical="center" wrapText="1"/>
    </xf>
    <xf numFmtId="164" fontId="30" fillId="0" borderId="0" xfId="1" applyNumberFormat="1" applyFont="1" applyFill="1" applyBorder="1"/>
    <xf numFmtId="2" fontId="28" fillId="0" borderId="0" xfId="2" applyNumberFormat="1" applyFont="1" applyBorder="1" applyAlignment="1">
      <alignment horizontal="right"/>
    </xf>
    <xf numFmtId="164" fontId="27" fillId="0" borderId="0" xfId="0" applyNumberFormat="1" applyFont="1"/>
    <xf numFmtId="2" fontId="27" fillId="0" borderId="0" xfId="2" applyNumberFormat="1" applyFont="1" applyBorder="1"/>
    <xf numFmtId="9" fontId="28" fillId="0" borderId="0" xfId="2" applyFont="1" applyBorder="1" applyAlignment="1">
      <alignment horizontal="right"/>
    </xf>
    <xf numFmtId="9" fontId="13" fillId="0" borderId="0" xfId="2" applyFont="1" applyBorder="1"/>
    <xf numFmtId="164" fontId="26" fillId="0" borderId="0" xfId="0" applyNumberFormat="1" applyFont="1"/>
    <xf numFmtId="165" fontId="28" fillId="0" borderId="0" xfId="2" applyNumberFormat="1" applyFont="1" applyBorder="1" applyAlignment="1">
      <alignment horizontal="right"/>
    </xf>
    <xf numFmtId="165" fontId="27" fillId="0" borderId="0" xfId="2" applyNumberFormat="1" applyFont="1" applyBorder="1"/>
    <xf numFmtId="165" fontId="25" fillId="0" borderId="0" xfId="2" applyNumberFormat="1" applyFont="1" applyFill="1" applyBorder="1" applyAlignment="1">
      <alignment horizontal="right"/>
    </xf>
    <xf numFmtId="165" fontId="26" fillId="0" borderId="0" xfId="2" applyNumberFormat="1" applyFont="1" applyBorder="1"/>
    <xf numFmtId="164" fontId="31" fillId="0" borderId="0" xfId="1" applyNumberFormat="1" applyFont="1" applyFill="1" applyBorder="1"/>
    <xf numFmtId="164" fontId="8" fillId="0" borderId="0" xfId="0" applyNumberFormat="1" applyFont="1"/>
    <xf numFmtId="164" fontId="8" fillId="0" borderId="0" xfId="1" applyNumberFormat="1" applyFont="1" applyFill="1"/>
    <xf numFmtId="164" fontId="0" fillId="0" borderId="0" xfId="1" applyNumberFormat="1" applyFont="1" applyProtection="1"/>
    <xf numFmtId="0" fontId="12" fillId="0" borderId="0" xfId="0" applyFont="1" applyAlignment="1">
      <alignment horizontal="center" wrapText="1"/>
    </xf>
    <xf numFmtId="0" fontId="0" fillId="0" borderId="0" xfId="0" applyAlignment="1">
      <alignment wrapText="1"/>
    </xf>
    <xf numFmtId="0" fontId="9" fillId="0" borderId="0" xfId="0" applyFont="1" applyAlignment="1">
      <alignment horizontal="right" vertical="top" wrapText="1"/>
    </xf>
    <xf numFmtId="164" fontId="27" fillId="0" borderId="0" xfId="1" applyNumberFormat="1" applyFont="1" applyAlignment="1">
      <alignment vertical="top"/>
    </xf>
    <xf numFmtId="3" fontId="0" fillId="0" borderId="0" xfId="1" applyNumberFormat="1" applyFont="1" applyAlignment="1">
      <alignment vertical="top"/>
    </xf>
    <xf numFmtId="0" fontId="10" fillId="0" borderId="0" xfId="0" applyFont="1" applyAlignment="1">
      <alignment vertical="top"/>
    </xf>
    <xf numFmtId="0" fontId="9" fillId="0" borderId="0" xfId="0" applyFont="1" applyAlignment="1">
      <alignment horizontal="right" vertical="top"/>
    </xf>
    <xf numFmtId="164" fontId="27" fillId="0" borderId="0" xfId="1" applyNumberFormat="1" applyFont="1" applyFill="1" applyAlignment="1">
      <alignment vertical="top"/>
    </xf>
    <xf numFmtId="0" fontId="17" fillId="0" borderId="0" xfId="0" applyFont="1" applyAlignment="1">
      <alignment vertical="top"/>
    </xf>
    <xf numFmtId="0" fontId="0" fillId="0" borderId="0" xfId="0" applyAlignment="1">
      <alignment vertical="top"/>
    </xf>
    <xf numFmtId="9" fontId="28" fillId="0" borderId="0" xfId="2" applyFont="1" applyFill="1" applyAlignment="1">
      <alignment horizontal="right"/>
    </xf>
    <xf numFmtId="0" fontId="32" fillId="0" borderId="0" xfId="0" applyFont="1" applyAlignment="1">
      <alignment horizontal="center"/>
    </xf>
    <xf numFmtId="164" fontId="17" fillId="0" borderId="0" xfId="0" applyNumberFormat="1" applyFont="1" applyAlignment="1">
      <alignment vertical="top"/>
    </xf>
    <xf numFmtId="165" fontId="17" fillId="0" borderId="0" xfId="2" applyNumberFormat="1" applyFont="1" applyAlignment="1">
      <alignment vertical="top"/>
    </xf>
    <xf numFmtId="10" fontId="17" fillId="0" borderId="0" xfId="2" applyNumberFormat="1" applyFont="1" applyAlignment="1">
      <alignment vertical="top"/>
    </xf>
    <xf numFmtId="3" fontId="0" fillId="0" borderId="0" xfId="0" applyNumberFormat="1"/>
    <xf numFmtId="14" fontId="0" fillId="0" borderId="0" xfId="0" applyNumberForma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center" vertical="center"/>
    </xf>
    <xf numFmtId="0" fontId="1" fillId="0" borderId="0" xfId="0" applyFont="1" applyAlignment="1">
      <alignment horizontal="center" vertical="center" wrapText="1"/>
    </xf>
    <xf numFmtId="0" fontId="7" fillId="0" borderId="0" xfId="0" applyFont="1" applyAlignment="1">
      <alignment horizontal="left"/>
    </xf>
    <xf numFmtId="0" fontId="4" fillId="0" borderId="0" xfId="0" applyFont="1" applyAlignment="1">
      <alignment horizontal="center"/>
    </xf>
    <xf numFmtId="0" fontId="3" fillId="0" borderId="0" xfId="0" applyFont="1" applyAlignment="1">
      <alignment horizontal="left" vertical="center" wrapText="1"/>
    </xf>
    <xf numFmtId="0" fontId="33" fillId="0" borderId="0" xfId="0" applyFont="1" applyAlignment="1">
      <alignment horizontal="center"/>
    </xf>
    <xf numFmtId="0" fontId="34" fillId="0" borderId="0" xfId="0" applyFont="1" applyAlignment="1">
      <alignment horizontal="center"/>
    </xf>
    <xf numFmtId="0" fontId="9" fillId="0" borderId="0" xfId="0" applyFont="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A6A6A6"/>
      <color rgb="FF2A7F67"/>
      <color rgb="FF0075BF"/>
      <color rgb="FF365072"/>
      <color rgb="FFBCDCE6"/>
      <color rgb="FF82BDD0"/>
      <color rgb="FF35989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Delaware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Data'!$H$4:$N$4</c:f>
              <c:numCache>
                <c:formatCode>#,##0</c:formatCode>
                <c:ptCount val="7"/>
                <c:pt idx="0" formatCode="General">
                  <c:v>220740</c:v>
                </c:pt>
                <c:pt idx="1">
                  <c:v>248441</c:v>
                </c:pt>
                <c:pt idx="2">
                  <c:v>287218</c:v>
                </c:pt>
                <c:pt idx="3">
                  <c:v>329249</c:v>
                </c:pt>
                <c:pt idx="4">
                  <c:v>373888</c:v>
                </c:pt>
                <c:pt idx="5">
                  <c:v>420768</c:v>
                </c:pt>
                <c:pt idx="6">
                  <c:v>469644</c:v>
                </c:pt>
              </c:numCache>
            </c:numRef>
          </c:yVal>
          <c:smooth val="0"/>
          <c:extLst>
            <c:ext xmlns:c16="http://schemas.microsoft.com/office/drawing/2014/chart" uri="{C3380CC4-5D6E-409C-BE32-E72D297353CC}">
              <c16:uniqueId val="{00000001-4F19-4BA7-A913-ECA6009DAC33}"/>
            </c:ext>
          </c:extLst>
        </c:ser>
        <c:ser>
          <c:idx val="3"/>
          <c:order val="1"/>
          <c:tx>
            <c:strRef>
              <c:f>'Population Chart Data'!$B$5</c:f>
              <c:strCache>
                <c:ptCount val="1"/>
                <c:pt idx="0">
                  <c:v>Confidence limit</c:v>
                </c:pt>
              </c:strCache>
            </c:strRef>
          </c:tx>
          <c:spPr>
            <a:ln w="19050"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Data'!$H$5:$N$5</c:f>
              <c:numCache>
                <c:formatCode>#,##0</c:formatCode>
                <c:ptCount val="7"/>
                <c:pt idx="0" formatCode="General">
                  <c:v>220740</c:v>
                </c:pt>
                <c:pt idx="1">
                  <c:v>238464</c:v>
                </c:pt>
                <c:pt idx="2">
                  <c:v>256467</c:v>
                </c:pt>
                <c:pt idx="3">
                  <c:v>271216</c:v>
                </c:pt>
                <c:pt idx="4">
                  <c:v>283357</c:v>
                </c:pt>
                <c:pt idx="5">
                  <c:v>293257</c:v>
                </c:pt>
                <c:pt idx="6">
                  <c:v>301161</c:v>
                </c:pt>
              </c:numCache>
            </c:numRef>
          </c:yVal>
          <c:smooth val="0"/>
          <c:extLst>
            <c:ext xmlns:c16="http://schemas.microsoft.com/office/drawing/2014/chart" uri="{C3380CC4-5D6E-409C-BE32-E72D297353CC}">
              <c16:uniqueId val="{00000002-4F19-4BA7-A913-ECA6009DAC33}"/>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6.7321688500727797E-2"/>
                  <c:y val="0.1008733495033988"/>
                </c:manualLayout>
              </c:layout>
              <c:showLegendKey val="0"/>
              <c:showVal val="1"/>
              <c:showCatName val="0"/>
              <c:showSerName val="0"/>
              <c:showPercent val="0"/>
              <c:showBubbleSize val="0"/>
              <c:extLst>
                <c:ext xmlns:c15="http://schemas.microsoft.com/office/drawing/2012/chart" uri="{CE6537A1-D6FC-4f65-9D91-7224C49458BB}">
                  <c15:layout>
                    <c:manualLayout>
                      <c:w val="8.2742065811642534E-2"/>
                      <c:h val="5.0135501355013545E-2"/>
                    </c:manualLayout>
                  </c15:layout>
                </c:ext>
                <c:ext xmlns:c16="http://schemas.microsoft.com/office/drawing/2014/chart" uri="{C3380CC4-5D6E-409C-BE32-E72D297353CC}">
                  <c16:uniqueId val="{00000000-1182-4D3D-88C3-42B584CA2D18}"/>
                </c:ext>
              </c:extLst>
            </c:dLbl>
            <c:numFmt formatCode="#,##0"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Data'!$H$3:$N$3</c:f>
              <c:numCache>
                <c:formatCode>General</c:formatCode>
                <c:ptCount val="7"/>
                <c:pt idx="0">
                  <c:v>220740</c:v>
                </c:pt>
                <c:pt idx="1">
                  <c:v>247016</c:v>
                </c:pt>
                <c:pt idx="2">
                  <c:v>277484</c:v>
                </c:pt>
                <c:pt idx="3">
                  <c:v>310863</c:v>
                </c:pt>
                <c:pt idx="4">
                  <c:v>340917</c:v>
                </c:pt>
                <c:pt idx="5">
                  <c:v>369307</c:v>
                </c:pt>
                <c:pt idx="6">
                  <c:v>397697</c:v>
                </c:pt>
              </c:numCache>
            </c:numRef>
          </c:yVal>
          <c:smooth val="0"/>
          <c:extLst>
            <c:ext xmlns:c16="http://schemas.microsoft.com/office/drawing/2014/chart" uri="{C3380CC4-5D6E-409C-BE32-E72D297353CC}">
              <c16:uniqueId val="{00000004-4F19-4BA7-A913-ECA6009DAC33}"/>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4.0029112081513829E-2"/>
                  <c:y val="-9.936766034327010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F19-4BA7-A913-ECA6009DAC33}"/>
                </c:ext>
              </c:extLst>
            </c:dLbl>
            <c:dLbl>
              <c:idx val="5"/>
              <c:layout>
                <c:manualLayout>
                  <c:x val="-0.12372634643377002"/>
                  <c:y val="-5.7211683227943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F19-4BA7-A913-ECA6009DAC3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Data'!$C$2:$H$2</c:f>
              <c:numCache>
                <c:formatCode>General</c:formatCode>
                <c:ptCount val="6"/>
                <c:pt idx="0">
                  <c:v>53840</c:v>
                </c:pt>
                <c:pt idx="1">
                  <c:v>67482</c:v>
                </c:pt>
                <c:pt idx="2">
                  <c:v>111759</c:v>
                </c:pt>
                <c:pt idx="3">
                  <c:v>175099</c:v>
                </c:pt>
                <c:pt idx="4">
                  <c:v>215062</c:v>
                </c:pt>
                <c:pt idx="5">
                  <c:v>220740</c:v>
                </c:pt>
              </c:numCache>
            </c:numRef>
          </c:yVal>
          <c:smooth val="0"/>
          <c:extLst>
            <c:ext xmlns:c16="http://schemas.microsoft.com/office/drawing/2014/chart" uri="{C3380CC4-5D6E-409C-BE32-E72D297353CC}">
              <c16:uniqueId val="{00000000-4F19-4BA7-A913-ECA6009DAC33}"/>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Fairfield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Data'!$H$8:$N$8</c:f>
              <c:numCache>
                <c:formatCode>#,##0</c:formatCode>
                <c:ptCount val="7"/>
                <c:pt idx="0" formatCode="General">
                  <c:v>161064</c:v>
                </c:pt>
                <c:pt idx="1">
                  <c:v>171704</c:v>
                </c:pt>
                <c:pt idx="2">
                  <c:v>188541</c:v>
                </c:pt>
                <c:pt idx="3">
                  <c:v>208055</c:v>
                </c:pt>
                <c:pt idx="4">
                  <c:v>229705</c:v>
                </c:pt>
                <c:pt idx="5">
                  <c:v>253189</c:v>
                </c:pt>
                <c:pt idx="6">
                  <c:v>278304</c:v>
                </c:pt>
              </c:numCache>
            </c:numRef>
          </c:yVal>
          <c:smooth val="0"/>
          <c:extLst>
            <c:ext xmlns:c16="http://schemas.microsoft.com/office/drawing/2014/chart" uri="{C3380CC4-5D6E-409C-BE32-E72D297353CC}">
              <c16:uniqueId val="{00000003-6A33-45ED-A0E8-44C17E41F356}"/>
            </c:ext>
          </c:extLst>
        </c:ser>
        <c:ser>
          <c:idx val="3"/>
          <c:order val="1"/>
          <c:tx>
            <c:strRef>
              <c:f>'Population Chart Data'!$B$5</c:f>
              <c:strCache>
                <c:ptCount val="1"/>
                <c:pt idx="0">
                  <c:v>Confidence limit</c:v>
                </c:pt>
              </c:strCache>
            </c:strRef>
          </c:tx>
          <c:spPr>
            <a:ln w="19050"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Data'!$H$9:$N$9</c:f>
              <c:numCache>
                <c:formatCode>#,##0</c:formatCode>
                <c:ptCount val="7"/>
                <c:pt idx="0" formatCode="General">
                  <c:v>161064</c:v>
                </c:pt>
                <c:pt idx="1">
                  <c:v>163990</c:v>
                </c:pt>
                <c:pt idx="2">
                  <c:v>164104</c:v>
                </c:pt>
                <c:pt idx="3">
                  <c:v>161542</c:v>
                </c:pt>
                <c:pt idx="4">
                  <c:v>156843</c:v>
                </c:pt>
                <c:pt idx="5">
                  <c:v>150311</c:v>
                </c:pt>
                <c:pt idx="6">
                  <c:v>142147</c:v>
                </c:pt>
              </c:numCache>
            </c:numRef>
          </c:yVal>
          <c:smooth val="0"/>
          <c:extLst>
            <c:ext xmlns:c16="http://schemas.microsoft.com/office/drawing/2014/chart" uri="{C3380CC4-5D6E-409C-BE32-E72D297353CC}">
              <c16:uniqueId val="{00000004-6A33-45ED-A0E8-44C17E41F356}"/>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7.0960698689956331E-2"/>
                  <c:y val="7.82896717856067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430-4863-A546-154172FC654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Data'!$H$7:$N$7</c:f>
              <c:numCache>
                <c:formatCode>General</c:formatCode>
                <c:ptCount val="7"/>
                <c:pt idx="0">
                  <c:v>161064</c:v>
                </c:pt>
                <c:pt idx="1">
                  <c:v>169183</c:v>
                </c:pt>
                <c:pt idx="2">
                  <c:v>178449</c:v>
                </c:pt>
                <c:pt idx="3">
                  <c:v>188820</c:v>
                </c:pt>
                <c:pt idx="4">
                  <c:v>197928</c:v>
                </c:pt>
                <c:pt idx="5">
                  <c:v>206404</c:v>
                </c:pt>
                <c:pt idx="6">
                  <c:v>214880</c:v>
                </c:pt>
              </c:numCache>
            </c:numRef>
          </c:yVal>
          <c:smooth val="0"/>
          <c:extLst>
            <c:ext xmlns:c16="http://schemas.microsoft.com/office/drawing/2014/chart" uri="{C3380CC4-5D6E-409C-BE32-E72D297353CC}">
              <c16:uniqueId val="{00000006-6A33-45ED-A0E8-44C17E41F356}"/>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1.0917030567685589E-2"/>
                  <c:y val="-7.527853056308352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A33-45ED-A0E8-44C17E41F356}"/>
                </c:ext>
              </c:extLst>
            </c:dLbl>
            <c:dLbl>
              <c:idx val="5"/>
              <c:layout>
                <c:manualLayout>
                  <c:x val="-0.12190684133915575"/>
                  <c:y val="-7.226738934056006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A33-45ED-A0E8-44C17E41F356}"/>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Data'!$C$6:$H$6</c:f>
              <c:numCache>
                <c:formatCode>General</c:formatCode>
                <c:ptCount val="6"/>
                <c:pt idx="0">
                  <c:v>93678</c:v>
                </c:pt>
                <c:pt idx="1">
                  <c:v>103823</c:v>
                </c:pt>
                <c:pt idx="2">
                  <c:v>123485</c:v>
                </c:pt>
                <c:pt idx="3">
                  <c:v>146417</c:v>
                </c:pt>
                <c:pt idx="4">
                  <c:v>159357</c:v>
                </c:pt>
                <c:pt idx="5">
                  <c:v>161064</c:v>
                </c:pt>
              </c:numCache>
            </c:numRef>
          </c:yVal>
          <c:smooth val="0"/>
          <c:extLst>
            <c:ext xmlns:c16="http://schemas.microsoft.com/office/drawing/2014/chart" uri="{C3380CC4-5D6E-409C-BE32-E72D297353CC}">
              <c16:uniqueId val="{00000002-6A33-45ED-A0E8-44C17E41F356}"/>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Fayette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9192913385826768E-2"/>
          <c:y val="0.11412248943136852"/>
          <c:w val="0.89230635881213538"/>
          <c:h val="0.71643964558630713"/>
        </c:manualLayout>
      </c:layout>
      <c:scatterChart>
        <c:scatterStyle val="lineMarker"/>
        <c:varyColors val="0"/>
        <c:ser>
          <c:idx val="2"/>
          <c:order val="0"/>
          <c:tx>
            <c:strRef>
              <c:f>'Population Chart Data'!$B$4</c:f>
              <c:strCache>
                <c:ptCount val="1"/>
                <c:pt idx="0">
                  <c:v>Confidence limit</c:v>
                </c:pt>
              </c:strCache>
            </c:strRef>
          </c:tx>
          <c:spPr>
            <a:ln w="19050"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Data'!$H$12:$N$12</c:f>
              <c:numCache>
                <c:formatCode>#,##0</c:formatCode>
                <c:ptCount val="7"/>
                <c:pt idx="0" formatCode="General">
                  <c:v>28906</c:v>
                </c:pt>
                <c:pt idx="1">
                  <c:v>29855</c:v>
                </c:pt>
                <c:pt idx="2">
                  <c:v>31216</c:v>
                </c:pt>
                <c:pt idx="3">
                  <c:v>32814</c:v>
                </c:pt>
                <c:pt idx="4">
                  <c:v>34594</c:v>
                </c:pt>
                <c:pt idx="5">
                  <c:v>36534</c:v>
                </c:pt>
                <c:pt idx="6">
                  <c:v>38618</c:v>
                </c:pt>
              </c:numCache>
            </c:numRef>
          </c:yVal>
          <c:smooth val="0"/>
          <c:extLst>
            <c:ext xmlns:c16="http://schemas.microsoft.com/office/drawing/2014/chart" uri="{C3380CC4-5D6E-409C-BE32-E72D297353CC}">
              <c16:uniqueId val="{00000003-4F00-4D8E-AC3D-2CD5219A928B}"/>
            </c:ext>
          </c:extLst>
        </c:ser>
        <c:ser>
          <c:idx val="3"/>
          <c:order val="1"/>
          <c:tx>
            <c:strRef>
              <c:f>'Population Chart Data'!$B$5</c:f>
              <c:strCache>
                <c:ptCount val="1"/>
                <c:pt idx="0">
                  <c:v>Confidence limit</c:v>
                </c:pt>
              </c:strCache>
            </c:strRef>
          </c:tx>
          <c:spPr>
            <a:ln w="19050"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Data'!$H$13:$N$13</c:f>
              <c:numCache>
                <c:formatCode>#,##0</c:formatCode>
                <c:ptCount val="7"/>
                <c:pt idx="0" formatCode="General">
                  <c:v>28906</c:v>
                </c:pt>
                <c:pt idx="1">
                  <c:v>28912</c:v>
                </c:pt>
                <c:pt idx="2">
                  <c:v>28691</c:v>
                </c:pt>
                <c:pt idx="3">
                  <c:v>28240</c:v>
                </c:pt>
                <c:pt idx="4">
                  <c:v>27601</c:v>
                </c:pt>
                <c:pt idx="5">
                  <c:v>26802</c:v>
                </c:pt>
                <c:pt idx="6">
                  <c:v>25859</c:v>
                </c:pt>
              </c:numCache>
            </c:numRef>
          </c:yVal>
          <c:smooth val="0"/>
          <c:extLst>
            <c:ext xmlns:c16="http://schemas.microsoft.com/office/drawing/2014/chart" uri="{C3380CC4-5D6E-409C-BE32-E72D297353CC}">
              <c16:uniqueId val="{00000004-4F00-4D8E-AC3D-2CD5219A928B}"/>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5.458515283842795E-2"/>
                  <c:y val="5.1189400782896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B64-4C21-9F58-0934C921E1EC}"/>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Data'!$H$11:$N$11</c:f>
              <c:numCache>
                <c:formatCode>General</c:formatCode>
                <c:ptCount val="7"/>
                <c:pt idx="0">
                  <c:v>28906</c:v>
                </c:pt>
                <c:pt idx="1">
                  <c:v>29419</c:v>
                </c:pt>
                <c:pt idx="2">
                  <c:v>30011</c:v>
                </c:pt>
                <c:pt idx="3">
                  <c:v>30634</c:v>
                </c:pt>
                <c:pt idx="4">
                  <c:v>31220</c:v>
                </c:pt>
                <c:pt idx="5">
                  <c:v>31790</c:v>
                </c:pt>
                <c:pt idx="6">
                  <c:v>32360</c:v>
                </c:pt>
              </c:numCache>
            </c:numRef>
          </c:yVal>
          <c:smooth val="0"/>
          <c:extLst>
            <c:ext xmlns:c16="http://schemas.microsoft.com/office/drawing/2014/chart" uri="{C3380CC4-5D6E-409C-BE32-E72D297353CC}">
              <c16:uniqueId val="{00000006-4F00-4D8E-AC3D-2CD5219A928B}"/>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5.4585152838427945E-3"/>
                  <c:y val="-5.420054200542005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00-4D8E-AC3D-2CD5219A928B}"/>
                </c:ext>
              </c:extLst>
            </c:dLbl>
            <c:dLbl>
              <c:idx val="5"/>
              <c:layout>
                <c:manualLayout>
                  <c:x val="-0.1091703056768559"/>
                  <c:y val="-5.118940078289671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00-4D8E-AC3D-2CD5219A928B}"/>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Data'!$C$10:$H$10</c:f>
              <c:numCache>
                <c:formatCode>General</c:formatCode>
                <c:ptCount val="6"/>
                <c:pt idx="0">
                  <c:v>27467</c:v>
                </c:pt>
                <c:pt idx="1">
                  <c:v>27501</c:v>
                </c:pt>
                <c:pt idx="2">
                  <c:v>28495</c:v>
                </c:pt>
                <c:pt idx="3">
                  <c:v>29014</c:v>
                </c:pt>
                <c:pt idx="4">
                  <c:v>28939</c:v>
                </c:pt>
                <c:pt idx="5">
                  <c:v>28906</c:v>
                </c:pt>
              </c:numCache>
            </c:numRef>
          </c:yVal>
          <c:smooth val="0"/>
          <c:extLst>
            <c:ext xmlns:c16="http://schemas.microsoft.com/office/drawing/2014/chart" uri="{C3380CC4-5D6E-409C-BE32-E72D297353CC}">
              <c16:uniqueId val="{00000002-4F00-4D8E-AC3D-2CD5219A928B}"/>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Franklin</a:t>
            </a:r>
            <a:r>
              <a:rPr lang="en-US" baseline="0"/>
              <a:t> County Population</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Data'!$H$16:$N$16</c:f>
              <c:numCache>
                <c:formatCode>#,##0</c:formatCode>
                <c:ptCount val="7"/>
                <c:pt idx="0" formatCode="General">
                  <c:v>1321414</c:v>
                </c:pt>
                <c:pt idx="1">
                  <c:v>1409654</c:v>
                </c:pt>
                <c:pt idx="2">
                  <c:v>1506988</c:v>
                </c:pt>
                <c:pt idx="3">
                  <c:v>1617180</c:v>
                </c:pt>
                <c:pt idx="4">
                  <c:v>1738045</c:v>
                </c:pt>
                <c:pt idx="5">
                  <c:v>1868239</c:v>
                </c:pt>
                <c:pt idx="6">
                  <c:v>2006828</c:v>
                </c:pt>
              </c:numCache>
            </c:numRef>
          </c:yVal>
          <c:smooth val="0"/>
          <c:extLst>
            <c:ext xmlns:c16="http://schemas.microsoft.com/office/drawing/2014/chart" uri="{C3380CC4-5D6E-409C-BE32-E72D297353CC}">
              <c16:uniqueId val="{00000003-8F40-466D-8469-3B3A70A8A46F}"/>
            </c:ext>
          </c:extLst>
        </c:ser>
        <c:ser>
          <c:idx val="3"/>
          <c:order val="1"/>
          <c:tx>
            <c:strRef>
              <c:f>'Population Chart Data'!$B$5</c:f>
              <c:strCache>
                <c:ptCount val="1"/>
                <c:pt idx="0">
                  <c:v>Confidence limit</c:v>
                </c:pt>
              </c:strCache>
            </c:strRef>
          </c:tx>
          <c:spPr>
            <a:ln w="19050"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Data'!$H$17:$N$17</c:f>
              <c:numCache>
                <c:formatCode>#,##0</c:formatCode>
                <c:ptCount val="7"/>
                <c:pt idx="0" formatCode="General">
                  <c:v>1321414</c:v>
                </c:pt>
                <c:pt idx="1">
                  <c:v>1333445</c:v>
                </c:pt>
                <c:pt idx="2">
                  <c:v>1327469</c:v>
                </c:pt>
                <c:pt idx="3">
                  <c:v>1308636</c:v>
                </c:pt>
                <c:pt idx="4">
                  <c:v>1279131</c:v>
                </c:pt>
                <c:pt idx="5">
                  <c:v>1240296</c:v>
                </c:pt>
                <c:pt idx="6">
                  <c:v>1193066</c:v>
                </c:pt>
              </c:numCache>
            </c:numRef>
          </c:yVal>
          <c:smooth val="0"/>
          <c:extLst>
            <c:ext xmlns:c16="http://schemas.microsoft.com/office/drawing/2014/chart" uri="{C3380CC4-5D6E-409C-BE32-E72D297353CC}">
              <c16:uniqueId val="{00000004-8F40-466D-8469-3B3A70A8A46F}"/>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6.9141193595342071E-2"/>
                  <c:y val="7.22673893405600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B54-477C-92C9-D760CE44A3C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Data'!$H$15:$N$15</c:f>
              <c:numCache>
                <c:formatCode>General</c:formatCode>
                <c:ptCount val="7"/>
                <c:pt idx="0">
                  <c:v>1321414</c:v>
                </c:pt>
                <c:pt idx="1">
                  <c:v>1390127</c:v>
                </c:pt>
                <c:pt idx="2">
                  <c:v>1447090</c:v>
                </c:pt>
                <c:pt idx="3">
                  <c:v>1519844</c:v>
                </c:pt>
                <c:pt idx="4">
                  <c:v>1574551</c:v>
                </c:pt>
                <c:pt idx="5">
                  <c:v>1620232</c:v>
                </c:pt>
                <c:pt idx="6">
                  <c:v>1665914</c:v>
                </c:pt>
              </c:numCache>
            </c:numRef>
          </c:yVal>
          <c:smooth val="0"/>
          <c:extLst>
            <c:ext xmlns:c16="http://schemas.microsoft.com/office/drawing/2014/chart" uri="{C3380CC4-5D6E-409C-BE32-E72D297353CC}">
              <c16:uniqueId val="{00000006-8F40-466D-8469-3B3A70A8A46F}"/>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1.6375545851528384E-2"/>
                  <c:y val="-7.52785305630835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F40-466D-8469-3B3A70A8A46F}"/>
                </c:ext>
              </c:extLst>
            </c:dLbl>
            <c:dLbl>
              <c:idx val="5"/>
              <c:layout>
                <c:manualLayout>
                  <c:x val="-0.13646288209606988"/>
                  <c:y val="-4.81782595603733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F40-466D-8469-3B3A70A8A46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Data'!$C$14:$H$14</c:f>
              <c:numCache>
                <c:formatCode>General</c:formatCode>
                <c:ptCount val="6"/>
                <c:pt idx="0">
                  <c:v>869126</c:v>
                </c:pt>
                <c:pt idx="1">
                  <c:v>965600</c:v>
                </c:pt>
                <c:pt idx="2">
                  <c:v>1072018</c:v>
                </c:pt>
                <c:pt idx="3">
                  <c:v>1166202</c:v>
                </c:pt>
                <c:pt idx="4">
                  <c:v>1324013</c:v>
                </c:pt>
                <c:pt idx="5">
                  <c:v>1321414</c:v>
                </c:pt>
              </c:numCache>
            </c:numRef>
          </c:yVal>
          <c:smooth val="0"/>
          <c:extLst>
            <c:ext xmlns:c16="http://schemas.microsoft.com/office/drawing/2014/chart" uri="{C3380CC4-5D6E-409C-BE32-E72D297353CC}">
              <c16:uniqueId val="{00000002-8F40-466D-8469-3B3A70A8A46F}"/>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Hocking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chemeClr val="bg1">
                  <a:lumMod val="65000"/>
                </a:schemeClr>
              </a:solidFill>
              <a:round/>
            </a:ln>
            <a:effectLst/>
          </c:spPr>
          <c:marker>
            <c:symbol val="circle"/>
            <c:size val="5"/>
            <c:spPr>
              <a:solidFill>
                <a:schemeClr val="bg1">
                  <a:lumMod val="65000"/>
                </a:schemeClr>
              </a:solidFill>
              <a:ln w="9525">
                <a:solidFill>
                  <a:schemeClr val="bg1">
                    <a:lumMod val="65000"/>
                  </a:schemeClr>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Data'!$H$20:$N$20</c:f>
              <c:numCache>
                <c:formatCode>#,##0</c:formatCode>
                <c:ptCount val="7"/>
                <c:pt idx="0" formatCode="General">
                  <c:v>28097</c:v>
                </c:pt>
                <c:pt idx="1">
                  <c:v>28660</c:v>
                </c:pt>
                <c:pt idx="2">
                  <c:v>29751</c:v>
                </c:pt>
                <c:pt idx="3">
                  <c:v>31239</c:v>
                </c:pt>
                <c:pt idx="4">
                  <c:v>33041</c:v>
                </c:pt>
                <c:pt idx="5">
                  <c:v>35114</c:v>
                </c:pt>
                <c:pt idx="6">
                  <c:v>37429</c:v>
                </c:pt>
              </c:numCache>
            </c:numRef>
          </c:yVal>
          <c:smooth val="0"/>
          <c:extLst>
            <c:ext xmlns:c16="http://schemas.microsoft.com/office/drawing/2014/chart" uri="{C3380CC4-5D6E-409C-BE32-E72D297353CC}">
              <c16:uniqueId val="{00000003-5D75-4FB8-858B-9D5A52BD8A85}"/>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chemeClr val="bg1">
                  <a:lumMod val="65000"/>
                </a:schemeClr>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Data'!$H$21:$N$21</c:f>
              <c:numCache>
                <c:formatCode>#,##0</c:formatCode>
                <c:ptCount val="7"/>
                <c:pt idx="0" formatCode="General">
                  <c:v>28097</c:v>
                </c:pt>
                <c:pt idx="1">
                  <c:v>27122</c:v>
                </c:pt>
                <c:pt idx="2">
                  <c:v>25535</c:v>
                </c:pt>
                <c:pt idx="3">
                  <c:v>23571</c:v>
                </c:pt>
                <c:pt idx="4">
                  <c:v>21295</c:v>
                </c:pt>
                <c:pt idx="5">
                  <c:v>18747</c:v>
                </c:pt>
                <c:pt idx="6">
                  <c:v>15958</c:v>
                </c:pt>
              </c:numCache>
            </c:numRef>
          </c:yVal>
          <c:smooth val="0"/>
          <c:extLst>
            <c:ext xmlns:c16="http://schemas.microsoft.com/office/drawing/2014/chart" uri="{C3380CC4-5D6E-409C-BE32-E72D297353CC}">
              <c16:uniqueId val="{00000004-5D75-4FB8-858B-9D5A52BD8A85}"/>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9.0975254730713245E-2"/>
                  <c:y val="5.118940078289671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814-4D4D-9721-7D43903F2004}"/>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Data'!$H$19:$N$19</c:f>
              <c:numCache>
                <c:formatCode>General</c:formatCode>
                <c:ptCount val="7"/>
                <c:pt idx="0">
                  <c:v>28097</c:v>
                </c:pt>
                <c:pt idx="1">
                  <c:v>27965</c:v>
                </c:pt>
                <c:pt idx="2">
                  <c:v>27762</c:v>
                </c:pt>
                <c:pt idx="3">
                  <c:v>27629</c:v>
                </c:pt>
                <c:pt idx="4">
                  <c:v>27428</c:v>
                </c:pt>
                <c:pt idx="5">
                  <c:v>27190</c:v>
                </c:pt>
                <c:pt idx="6">
                  <c:v>26953</c:v>
                </c:pt>
              </c:numCache>
            </c:numRef>
          </c:yVal>
          <c:smooth val="0"/>
          <c:extLst>
            <c:ext xmlns:c16="http://schemas.microsoft.com/office/drawing/2014/chart" uri="{C3380CC4-5D6E-409C-BE32-E72D297353CC}">
              <c16:uniqueId val="{00000006-5D75-4FB8-858B-9D5A52BD8A85}"/>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1.4556040756914119E-2"/>
                  <c:y val="-7.52785305630834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D75-4FB8-858B-9D5A52BD8A85}"/>
                </c:ext>
              </c:extLst>
            </c:dLbl>
            <c:dLbl>
              <c:idx val="5"/>
              <c:layout>
                <c:manualLayout>
                  <c:x val="-0.11098981077147016"/>
                  <c:y val="-7.22673893405600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D75-4FB8-858B-9D5A52BD8A8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Data'!$C$18:$H$18</c:f>
              <c:numCache>
                <c:formatCode>General</c:formatCode>
                <c:ptCount val="6"/>
                <c:pt idx="0">
                  <c:v>24304</c:v>
                </c:pt>
                <c:pt idx="1">
                  <c:v>25594</c:v>
                </c:pt>
                <c:pt idx="2">
                  <c:v>28262</c:v>
                </c:pt>
                <c:pt idx="3">
                  <c:v>29478</c:v>
                </c:pt>
                <c:pt idx="4">
                  <c:v>27999</c:v>
                </c:pt>
                <c:pt idx="5">
                  <c:v>28097</c:v>
                </c:pt>
              </c:numCache>
            </c:numRef>
          </c:yVal>
          <c:smooth val="0"/>
          <c:extLst>
            <c:ext xmlns:c16="http://schemas.microsoft.com/office/drawing/2014/chart" uri="{C3380CC4-5D6E-409C-BE32-E72D297353CC}">
              <c16:uniqueId val="{00000002-5D75-4FB8-858B-9D5A52BD8A85}"/>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Knox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Data'!$H$24:$N$24</c:f>
              <c:numCache>
                <c:formatCode>#,##0</c:formatCode>
                <c:ptCount val="7"/>
                <c:pt idx="0" formatCode="General">
                  <c:v>62897</c:v>
                </c:pt>
                <c:pt idx="1">
                  <c:v>65164</c:v>
                </c:pt>
                <c:pt idx="2">
                  <c:v>69227</c:v>
                </c:pt>
                <c:pt idx="3">
                  <c:v>74288</c:v>
                </c:pt>
                <c:pt idx="4">
                  <c:v>80150</c:v>
                </c:pt>
                <c:pt idx="5">
                  <c:v>86702</c:v>
                </c:pt>
                <c:pt idx="6">
                  <c:v>93868</c:v>
                </c:pt>
              </c:numCache>
            </c:numRef>
          </c:yVal>
          <c:smooth val="0"/>
          <c:extLst>
            <c:ext xmlns:c16="http://schemas.microsoft.com/office/drawing/2014/chart" uri="{C3380CC4-5D6E-409C-BE32-E72D297353CC}">
              <c16:uniqueId val="{00000003-3F11-4D12-8AB5-2DBD1D98ACB7}"/>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Data'!$H$25:$N$25</c:f>
              <c:numCache>
                <c:formatCode>#,##0</c:formatCode>
                <c:ptCount val="7"/>
                <c:pt idx="0" formatCode="General">
                  <c:v>62897</c:v>
                </c:pt>
                <c:pt idx="1">
                  <c:v>61970</c:v>
                </c:pt>
                <c:pt idx="2">
                  <c:v>59572</c:v>
                </c:pt>
                <c:pt idx="3">
                  <c:v>56176</c:v>
                </c:pt>
                <c:pt idx="4">
                  <c:v>51978</c:v>
                </c:pt>
                <c:pt idx="5">
                  <c:v>47091</c:v>
                </c:pt>
                <c:pt idx="6">
                  <c:v>41589</c:v>
                </c:pt>
              </c:numCache>
            </c:numRef>
          </c:yVal>
          <c:smooth val="0"/>
          <c:extLst>
            <c:ext xmlns:c16="http://schemas.microsoft.com/office/drawing/2014/chart" uri="{C3380CC4-5D6E-409C-BE32-E72D297353CC}">
              <c16:uniqueId val="{00000004-3F11-4D12-8AB5-2DBD1D98ACB7}"/>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8.1877729257641918E-2"/>
                  <c:y val="6.323396567299007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281-4000-B1F4-10C5D6301C2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Data'!$H$23:$N$23</c:f>
              <c:numCache>
                <c:formatCode>General</c:formatCode>
                <c:ptCount val="7"/>
                <c:pt idx="0">
                  <c:v>62897</c:v>
                </c:pt>
                <c:pt idx="1">
                  <c:v>64157</c:v>
                </c:pt>
                <c:pt idx="2">
                  <c:v>65339</c:v>
                </c:pt>
                <c:pt idx="3">
                  <c:v>67013</c:v>
                </c:pt>
                <c:pt idx="4">
                  <c:v>68125</c:v>
                </c:pt>
                <c:pt idx="5">
                  <c:v>68957</c:v>
                </c:pt>
                <c:pt idx="6">
                  <c:v>69790</c:v>
                </c:pt>
              </c:numCache>
            </c:numRef>
          </c:yVal>
          <c:smooth val="0"/>
          <c:extLst>
            <c:ext xmlns:c16="http://schemas.microsoft.com/office/drawing/2014/chart" uri="{C3380CC4-5D6E-409C-BE32-E72D297353CC}">
              <c16:uniqueId val="{00000006-3F11-4D12-8AB5-2DBD1D98ACB7}"/>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2.9112081513828221E-2"/>
                  <c:y val="-6.323396567299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F11-4D12-8AB5-2DBD1D98ACB7}"/>
                </c:ext>
              </c:extLst>
            </c:dLbl>
            <c:dLbl>
              <c:idx val="5"/>
              <c:layout>
                <c:manualLayout>
                  <c:x val="-0.10735080058224163"/>
                  <c:y val="-4.81782595603733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F11-4D12-8AB5-2DBD1D98ACB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Data'!$C$22:$H$22</c:f>
              <c:numCache>
                <c:formatCode>General</c:formatCode>
                <c:ptCount val="6"/>
                <c:pt idx="0">
                  <c:v>46304</c:v>
                </c:pt>
                <c:pt idx="1">
                  <c:v>47637</c:v>
                </c:pt>
                <c:pt idx="2">
                  <c:v>54616</c:v>
                </c:pt>
                <c:pt idx="3">
                  <c:v>61090</c:v>
                </c:pt>
                <c:pt idx="4">
                  <c:v>62765</c:v>
                </c:pt>
                <c:pt idx="5">
                  <c:v>62897</c:v>
                </c:pt>
              </c:numCache>
            </c:numRef>
          </c:yVal>
          <c:smooth val="0"/>
          <c:extLst>
            <c:ext xmlns:c16="http://schemas.microsoft.com/office/drawing/2014/chart" uri="{C3380CC4-5D6E-409C-BE32-E72D297353CC}">
              <c16:uniqueId val="{00000002-3F11-4D12-8AB5-2DBD1D98ACB7}"/>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Licking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2977483982624436E-2"/>
          <c:y val="0.11713363065389185"/>
          <c:w val="0.88124376783688063"/>
          <c:h val="0.71643964558630713"/>
        </c:manualLayout>
      </c:layout>
      <c:scatterChart>
        <c:scatterStyle val="lineMarker"/>
        <c:varyColors val="0"/>
        <c:ser>
          <c:idx val="2"/>
          <c:order val="0"/>
          <c:tx>
            <c:strRef>
              <c:f>'Population Chart Data'!$B$4</c:f>
              <c:strCache>
                <c:ptCount val="1"/>
                <c:pt idx="0">
                  <c:v>Confidence limit</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Data'!$H$28:$N$28</c:f>
              <c:numCache>
                <c:formatCode>#,##0</c:formatCode>
                <c:ptCount val="7"/>
                <c:pt idx="0" formatCode="General">
                  <c:v>180401</c:v>
                </c:pt>
                <c:pt idx="1">
                  <c:v>189312</c:v>
                </c:pt>
                <c:pt idx="2">
                  <c:v>203164</c:v>
                </c:pt>
                <c:pt idx="3">
                  <c:v>219200</c:v>
                </c:pt>
                <c:pt idx="4">
                  <c:v>237045</c:v>
                </c:pt>
                <c:pt idx="5">
                  <c:v>256471</c:v>
                </c:pt>
                <c:pt idx="6">
                  <c:v>277319</c:v>
                </c:pt>
              </c:numCache>
            </c:numRef>
          </c:yVal>
          <c:smooth val="0"/>
          <c:extLst>
            <c:ext xmlns:c16="http://schemas.microsoft.com/office/drawing/2014/chart" uri="{C3380CC4-5D6E-409C-BE32-E72D297353CC}">
              <c16:uniqueId val="{00000003-441E-41DE-91D8-1632BDE7348F}"/>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Data'!$H$29:$N$29</c:f>
              <c:numCache>
                <c:formatCode>#,##0</c:formatCode>
                <c:ptCount val="7"/>
                <c:pt idx="0" formatCode="General">
                  <c:v>180401</c:v>
                </c:pt>
                <c:pt idx="1">
                  <c:v>176808</c:v>
                </c:pt>
                <c:pt idx="2">
                  <c:v>173324</c:v>
                </c:pt>
                <c:pt idx="3">
                  <c:v>167658</c:v>
                </c:pt>
                <c:pt idx="4">
                  <c:v>160181</c:v>
                </c:pt>
                <c:pt idx="5">
                  <c:v>151123</c:v>
                </c:pt>
                <c:pt idx="6">
                  <c:v>140644</c:v>
                </c:pt>
              </c:numCache>
            </c:numRef>
          </c:yVal>
          <c:smooth val="0"/>
          <c:extLst>
            <c:ext xmlns:c16="http://schemas.microsoft.com/office/drawing/2014/chart" uri="{C3380CC4-5D6E-409C-BE32-E72D297353CC}">
              <c16:uniqueId val="{00000004-441E-41DE-91D8-1632BDE7348F}"/>
            </c:ext>
          </c:extLst>
        </c:ser>
        <c:ser>
          <c:idx val="1"/>
          <c:order val="2"/>
          <c:tx>
            <c:strRef>
              <c:f>'Population Chart Data'!$B$3</c:f>
              <c:strCache>
                <c:ptCount val="1"/>
                <c:pt idx="0">
                  <c:v>Forecasted population</c:v>
                </c:pt>
              </c:strCache>
            </c:strRef>
          </c:tx>
          <c:spPr>
            <a:ln w="1905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7.2780203784570591E-2"/>
                  <c:y val="8.43119542306533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ED3-4342-A958-456365752F1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Data'!$H$27:$N$27</c:f>
              <c:numCache>
                <c:formatCode>General</c:formatCode>
                <c:ptCount val="7"/>
                <c:pt idx="0">
                  <c:v>180401</c:v>
                </c:pt>
                <c:pt idx="1">
                  <c:v>190915</c:v>
                </c:pt>
                <c:pt idx="2">
                  <c:v>200710</c:v>
                </c:pt>
                <c:pt idx="3">
                  <c:v>216962</c:v>
                </c:pt>
                <c:pt idx="4">
                  <c:v>225833</c:v>
                </c:pt>
                <c:pt idx="5">
                  <c:v>231017</c:v>
                </c:pt>
                <c:pt idx="6">
                  <c:v>236202</c:v>
                </c:pt>
              </c:numCache>
            </c:numRef>
          </c:yVal>
          <c:smooth val="0"/>
          <c:extLst>
            <c:ext xmlns:c16="http://schemas.microsoft.com/office/drawing/2014/chart" uri="{C3380CC4-5D6E-409C-BE32-E72D297353CC}">
              <c16:uniqueId val="{00000006-441E-41DE-91D8-1632BDE7348F}"/>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1.2736535662299854E-2"/>
                  <c:y val="-6.6245106895513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41E-41DE-91D8-1632BDE7348F}"/>
                </c:ext>
              </c:extLst>
            </c:dLbl>
            <c:dLbl>
              <c:idx val="5"/>
              <c:layout>
                <c:manualLayout>
                  <c:x val="-0.13282387190684133"/>
                  <c:y val="-6.3233965672990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41E-41DE-91D8-1632BDE7348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Data'!$C$26:$H$26</c:f>
              <c:numCache>
                <c:formatCode>General</c:formatCode>
                <c:ptCount val="6"/>
                <c:pt idx="0">
                  <c:v>120981</c:v>
                </c:pt>
                <c:pt idx="1">
                  <c:v>129006</c:v>
                </c:pt>
                <c:pt idx="2">
                  <c:v>146268</c:v>
                </c:pt>
                <c:pt idx="3">
                  <c:v>166705</c:v>
                </c:pt>
                <c:pt idx="4">
                  <c:v>178680</c:v>
                </c:pt>
                <c:pt idx="5">
                  <c:v>180401</c:v>
                </c:pt>
              </c:numCache>
            </c:numRef>
          </c:yVal>
          <c:smooth val="0"/>
          <c:extLst>
            <c:ext xmlns:c16="http://schemas.microsoft.com/office/drawing/2014/chart" uri="{C3380CC4-5D6E-409C-BE32-E72D297353CC}">
              <c16:uniqueId val="{00000002-441E-41DE-91D8-1632BDE7348F}"/>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Logan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Data'!$H$32:$N$32</c:f>
              <c:numCache>
                <c:formatCode>#,##0</c:formatCode>
                <c:ptCount val="7"/>
                <c:pt idx="0" formatCode="General">
                  <c:v>46035</c:v>
                </c:pt>
                <c:pt idx="1">
                  <c:v>47290</c:v>
                </c:pt>
                <c:pt idx="2">
                  <c:v>49351</c:v>
                </c:pt>
                <c:pt idx="3">
                  <c:v>51833</c:v>
                </c:pt>
                <c:pt idx="4">
                  <c:v>54679</c:v>
                </c:pt>
                <c:pt idx="5">
                  <c:v>57844</c:v>
                </c:pt>
                <c:pt idx="6">
                  <c:v>61297</c:v>
                </c:pt>
              </c:numCache>
            </c:numRef>
          </c:yVal>
          <c:smooth val="0"/>
          <c:extLst>
            <c:ext xmlns:c16="http://schemas.microsoft.com/office/drawing/2014/chart" uri="{C3380CC4-5D6E-409C-BE32-E72D297353CC}">
              <c16:uniqueId val="{00000003-9299-4B58-9ADE-6BBF56B6D1CD}"/>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Data'!$H$33:$N$33</c:f>
              <c:numCache>
                <c:formatCode>#,##0</c:formatCode>
                <c:ptCount val="7"/>
                <c:pt idx="0" formatCode="General">
                  <c:v>46035</c:v>
                </c:pt>
                <c:pt idx="1">
                  <c:v>44871</c:v>
                </c:pt>
                <c:pt idx="2">
                  <c:v>43377</c:v>
                </c:pt>
                <c:pt idx="3">
                  <c:v>41448</c:v>
                </c:pt>
                <c:pt idx="4">
                  <c:v>39156</c:v>
                </c:pt>
                <c:pt idx="5">
                  <c:v>36544</c:v>
                </c:pt>
                <c:pt idx="6">
                  <c:v>33644</c:v>
                </c:pt>
              </c:numCache>
            </c:numRef>
          </c:yVal>
          <c:smooth val="0"/>
          <c:extLst>
            <c:ext xmlns:c16="http://schemas.microsoft.com/office/drawing/2014/chart" uri="{C3380CC4-5D6E-409C-BE32-E72D297353CC}">
              <c16:uniqueId val="{00000004-9299-4B58-9ADE-6BBF56B6D1CD}"/>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7.6419213973799263E-2"/>
                  <c:y val="4.817825956037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051-4955-90F8-F9EC38600A78}"/>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Data'!$H$31:$N$31</c:f>
              <c:numCache>
                <c:formatCode>General</c:formatCode>
                <c:ptCount val="7"/>
                <c:pt idx="0">
                  <c:v>46035</c:v>
                </c:pt>
                <c:pt idx="1">
                  <c:v>46095</c:v>
                </c:pt>
                <c:pt idx="2">
                  <c:v>46407</c:v>
                </c:pt>
                <c:pt idx="3">
                  <c:v>46763</c:v>
                </c:pt>
                <c:pt idx="4">
                  <c:v>47058</c:v>
                </c:pt>
                <c:pt idx="5">
                  <c:v>47335</c:v>
                </c:pt>
                <c:pt idx="6">
                  <c:v>47611</c:v>
                </c:pt>
              </c:numCache>
            </c:numRef>
          </c:yVal>
          <c:smooth val="0"/>
          <c:extLst>
            <c:ext xmlns:c16="http://schemas.microsoft.com/office/drawing/2014/chart" uri="{C3380CC4-5D6E-409C-BE32-E72D297353CC}">
              <c16:uniqueId val="{00000006-9299-4B58-9ADE-6BBF56B6D1CD}"/>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1.6375545851528367E-2"/>
                  <c:y val="-8.130081300813002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99-4B58-9ADE-6BBF56B6D1CD}"/>
                </c:ext>
              </c:extLst>
            </c:dLbl>
            <c:dLbl>
              <c:idx val="5"/>
              <c:layout>
                <c:manualLayout>
                  <c:x val="-9.8253275109170299E-2"/>
                  <c:y val="-5.721168322794339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99-4B58-9ADE-6BBF56B6D1C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Data'!$C$30:$H$30</c:f>
              <c:numCache>
                <c:formatCode>General</c:formatCode>
                <c:ptCount val="6"/>
                <c:pt idx="0">
                  <c:v>39155</c:v>
                </c:pt>
                <c:pt idx="1">
                  <c:v>42417</c:v>
                </c:pt>
                <c:pt idx="2">
                  <c:v>45984</c:v>
                </c:pt>
                <c:pt idx="3">
                  <c:v>45743</c:v>
                </c:pt>
                <c:pt idx="4">
                  <c:v>46065</c:v>
                </c:pt>
                <c:pt idx="5">
                  <c:v>46035</c:v>
                </c:pt>
              </c:numCache>
            </c:numRef>
          </c:yVal>
          <c:smooth val="0"/>
          <c:extLst>
            <c:ext xmlns:c16="http://schemas.microsoft.com/office/drawing/2014/chart" uri="{C3380CC4-5D6E-409C-BE32-E72D297353CC}">
              <c16:uniqueId val="{00000002-9299-4B58-9ADE-6BBF56B6D1CD}"/>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Marion County</a:t>
            </a:r>
            <a:r>
              <a:rPr lang="en-US" baseline="0"/>
              <a:t> Population</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Data'!$H$40:$N$40</c:f>
              <c:numCache>
                <c:formatCode>#,##0</c:formatCode>
                <c:ptCount val="7"/>
                <c:pt idx="0" formatCode="General">
                  <c:v>65291</c:v>
                </c:pt>
                <c:pt idx="1">
                  <c:v>66329</c:v>
                </c:pt>
                <c:pt idx="2">
                  <c:v>66651</c:v>
                </c:pt>
                <c:pt idx="3">
                  <c:v>66806</c:v>
                </c:pt>
                <c:pt idx="4">
                  <c:v>66879</c:v>
                </c:pt>
                <c:pt idx="5">
                  <c:v>66903</c:v>
                </c:pt>
                <c:pt idx="6">
                  <c:v>66892</c:v>
                </c:pt>
              </c:numCache>
            </c:numRef>
          </c:yVal>
          <c:smooth val="0"/>
          <c:extLst>
            <c:ext xmlns:c16="http://schemas.microsoft.com/office/drawing/2014/chart" uri="{C3380CC4-5D6E-409C-BE32-E72D297353CC}">
              <c16:uniqueId val="{00000003-47CB-4785-833F-AC9C62207EE3}"/>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Data'!$H$41:$N$41</c:f>
              <c:numCache>
                <c:formatCode>#,##0</c:formatCode>
                <c:ptCount val="7"/>
                <c:pt idx="0" formatCode="General">
                  <c:v>65291</c:v>
                </c:pt>
                <c:pt idx="1">
                  <c:v>63731</c:v>
                </c:pt>
                <c:pt idx="2">
                  <c:v>62754</c:v>
                </c:pt>
                <c:pt idx="3">
                  <c:v>61945</c:v>
                </c:pt>
                <c:pt idx="4">
                  <c:v>61217</c:v>
                </c:pt>
                <c:pt idx="5">
                  <c:v>60539</c:v>
                </c:pt>
                <c:pt idx="6">
                  <c:v>59896</c:v>
                </c:pt>
              </c:numCache>
            </c:numRef>
          </c:yVal>
          <c:smooth val="0"/>
          <c:extLst>
            <c:ext xmlns:c16="http://schemas.microsoft.com/office/drawing/2014/chart" uri="{C3380CC4-5D6E-409C-BE32-E72D297353CC}">
              <c16:uniqueId val="{00000004-47CB-4785-833F-AC9C62207EE3}"/>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8.5516739446870452E-2"/>
                  <c:y val="9.698992171433115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1E-4B29-8139-F4D2F99DC433}"/>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Data'!$H$39:$N$39</c:f>
              <c:numCache>
                <c:formatCode>General</c:formatCode>
                <c:ptCount val="7"/>
                <c:pt idx="0">
                  <c:v>65291</c:v>
                </c:pt>
                <c:pt idx="1">
                  <c:v>65314</c:v>
                </c:pt>
                <c:pt idx="2">
                  <c:v>65160</c:v>
                </c:pt>
                <c:pt idx="3">
                  <c:v>65246</c:v>
                </c:pt>
                <c:pt idx="4">
                  <c:v>65059</c:v>
                </c:pt>
                <c:pt idx="5">
                  <c:v>64732</c:v>
                </c:pt>
                <c:pt idx="6">
                  <c:v>64405</c:v>
                </c:pt>
              </c:numCache>
            </c:numRef>
          </c:yVal>
          <c:smooth val="0"/>
          <c:extLst>
            <c:ext xmlns:c16="http://schemas.microsoft.com/office/drawing/2014/chart" uri="{C3380CC4-5D6E-409C-BE32-E72D297353CC}">
              <c16:uniqueId val="{00000006-47CB-4785-833F-AC9C62207EE3}"/>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3.6390101892285295E-2"/>
                  <c:y val="-1.80668473351400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7CB-4785-833F-AC9C62207EE3}"/>
                </c:ext>
              </c:extLst>
            </c:dLbl>
            <c:dLbl>
              <c:idx val="5"/>
              <c:layout>
                <c:manualLayout>
                  <c:x val="-9.8253275109170299E-2"/>
                  <c:y val="-7.26584176977877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CB-4785-833F-AC9C62207EE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Data'!$C$38:$H$38</c:f>
              <c:numCache>
                <c:formatCode>General</c:formatCode>
                <c:ptCount val="6"/>
                <c:pt idx="0">
                  <c:v>67974</c:v>
                </c:pt>
                <c:pt idx="1">
                  <c:v>64289</c:v>
                </c:pt>
                <c:pt idx="2">
                  <c:v>66135</c:v>
                </c:pt>
                <c:pt idx="3">
                  <c:v>66458</c:v>
                </c:pt>
                <c:pt idx="4">
                  <c:v>65363</c:v>
                </c:pt>
                <c:pt idx="5">
                  <c:v>65291</c:v>
                </c:pt>
              </c:numCache>
            </c:numRef>
          </c:yVal>
          <c:smooth val="0"/>
          <c:extLst>
            <c:ext xmlns:c16="http://schemas.microsoft.com/office/drawing/2014/chart" uri="{C3380CC4-5D6E-409C-BE32-E72D297353CC}">
              <c16:uniqueId val="{00000002-47CB-4785-833F-AC9C62207EE3}"/>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Madison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8435999266467216E-2"/>
          <c:y val="0.11713363065389185"/>
          <c:w val="0.88124376783688063"/>
          <c:h val="0.71643964558630713"/>
        </c:manualLayout>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Data'!$H$36:$N$36</c:f>
              <c:numCache>
                <c:formatCode>#,##0</c:formatCode>
                <c:ptCount val="7"/>
                <c:pt idx="0" formatCode="General">
                  <c:v>44386</c:v>
                </c:pt>
                <c:pt idx="1">
                  <c:v>49508</c:v>
                </c:pt>
                <c:pt idx="2">
                  <c:v>58168</c:v>
                </c:pt>
                <c:pt idx="3">
                  <c:v>68798</c:v>
                </c:pt>
                <c:pt idx="4">
                  <c:v>81014</c:v>
                </c:pt>
                <c:pt idx="5">
                  <c:v>94597</c:v>
                </c:pt>
                <c:pt idx="6">
                  <c:v>109400</c:v>
                </c:pt>
              </c:numCache>
            </c:numRef>
          </c:yVal>
          <c:smooth val="0"/>
          <c:extLst>
            <c:ext xmlns:c16="http://schemas.microsoft.com/office/drawing/2014/chart" uri="{C3380CC4-5D6E-409C-BE32-E72D297353CC}">
              <c16:uniqueId val="{00000003-FED9-4DBD-8FE4-1D9DD88A39E2}"/>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Data'!$H$37:$N$37</c:f>
              <c:numCache>
                <c:formatCode>#,##0</c:formatCode>
                <c:ptCount val="7"/>
                <c:pt idx="0" formatCode="General">
                  <c:v>44386</c:v>
                </c:pt>
                <c:pt idx="1">
                  <c:v>42918</c:v>
                </c:pt>
                <c:pt idx="2">
                  <c:v>38616</c:v>
                </c:pt>
                <c:pt idx="3">
                  <c:v>32345</c:v>
                </c:pt>
                <c:pt idx="4">
                  <c:v>24486</c:v>
                </c:pt>
                <c:pt idx="5">
                  <c:v>15261</c:v>
                </c:pt>
                <c:pt idx="6">
                  <c:v>4816</c:v>
                </c:pt>
              </c:numCache>
            </c:numRef>
          </c:yVal>
          <c:smooth val="0"/>
          <c:extLst>
            <c:ext xmlns:c16="http://schemas.microsoft.com/office/drawing/2014/chart" uri="{C3380CC4-5D6E-409C-BE32-E72D297353CC}">
              <c16:uniqueId val="{00000004-FED9-4DBD-8FE4-1D9DD88A39E2}"/>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8.1877729257642057E-2"/>
                  <c:y val="7.226738934056006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DF54-49B4-B3E3-12F7E186798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Data'!$H$35:$N$35</c:f>
              <c:numCache>
                <c:formatCode>General</c:formatCode>
                <c:ptCount val="7"/>
                <c:pt idx="0">
                  <c:v>44386</c:v>
                </c:pt>
                <c:pt idx="1">
                  <c:v>46487</c:v>
                </c:pt>
                <c:pt idx="2">
                  <c:v>48833</c:v>
                </c:pt>
                <c:pt idx="3">
                  <c:v>51412</c:v>
                </c:pt>
                <c:pt idx="4">
                  <c:v>53726</c:v>
                </c:pt>
                <c:pt idx="5">
                  <c:v>55905</c:v>
                </c:pt>
                <c:pt idx="6">
                  <c:v>58084</c:v>
                </c:pt>
              </c:numCache>
            </c:numRef>
          </c:yVal>
          <c:smooth val="0"/>
          <c:extLst>
            <c:ext xmlns:c16="http://schemas.microsoft.com/office/drawing/2014/chart" uri="{C3380CC4-5D6E-409C-BE32-E72D297353CC}">
              <c16:uniqueId val="{00000006-FED9-4DBD-8FE4-1D9DD88A39E2}"/>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1.0917030567685589E-2"/>
                  <c:y val="-6.022282445046672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ED9-4DBD-8FE4-1D9DD88A39E2}"/>
                </c:ext>
              </c:extLst>
            </c:dLbl>
            <c:dLbl>
              <c:idx val="5"/>
              <c:layout>
                <c:manualLayout>
                  <c:x val="-9.8253275109170299E-2"/>
                  <c:y val="-5.420054200542005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D9-4DBD-8FE4-1D9DD88A39E2}"/>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Data'!$C$34:$H$34</c:f>
              <c:numCache>
                <c:formatCode>General</c:formatCode>
                <c:ptCount val="6"/>
                <c:pt idx="0">
                  <c:v>33004</c:v>
                </c:pt>
                <c:pt idx="1">
                  <c:v>37111</c:v>
                </c:pt>
                <c:pt idx="2">
                  <c:v>40218</c:v>
                </c:pt>
                <c:pt idx="3">
                  <c:v>43434</c:v>
                </c:pt>
                <c:pt idx="4">
                  <c:v>43823</c:v>
                </c:pt>
                <c:pt idx="5">
                  <c:v>44386</c:v>
                </c:pt>
              </c:numCache>
            </c:numRef>
          </c:yVal>
          <c:smooth val="0"/>
          <c:extLst>
            <c:ext xmlns:c16="http://schemas.microsoft.com/office/drawing/2014/chart" uri="{C3380CC4-5D6E-409C-BE32-E72D297353CC}">
              <c16:uniqueId val="{00000002-FED9-4DBD-8FE4-1D9DD88A39E2}"/>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Morrow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Data'!$H$44:$N$44</c:f>
              <c:numCache>
                <c:formatCode>#,##0</c:formatCode>
                <c:ptCount val="7"/>
                <c:pt idx="0" formatCode="General">
                  <c:v>35151</c:v>
                </c:pt>
                <c:pt idx="1">
                  <c:v>37323</c:v>
                </c:pt>
                <c:pt idx="2">
                  <c:v>41222</c:v>
                </c:pt>
                <c:pt idx="3">
                  <c:v>46050</c:v>
                </c:pt>
                <c:pt idx="4">
                  <c:v>51621</c:v>
                </c:pt>
                <c:pt idx="5">
                  <c:v>57832</c:v>
                </c:pt>
                <c:pt idx="6">
                  <c:v>64613</c:v>
                </c:pt>
              </c:numCache>
            </c:numRef>
          </c:yVal>
          <c:smooth val="0"/>
          <c:extLst>
            <c:ext xmlns:c16="http://schemas.microsoft.com/office/drawing/2014/chart" uri="{C3380CC4-5D6E-409C-BE32-E72D297353CC}">
              <c16:uniqueId val="{00000003-9471-4336-970C-42095D374C5D}"/>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Data'!$H$45:$N$45</c:f>
              <c:numCache>
                <c:formatCode>#,##0</c:formatCode>
                <c:ptCount val="7"/>
                <c:pt idx="0" formatCode="General">
                  <c:v>35151</c:v>
                </c:pt>
                <c:pt idx="1">
                  <c:v>34476</c:v>
                </c:pt>
                <c:pt idx="2">
                  <c:v>32447</c:v>
                </c:pt>
                <c:pt idx="3">
                  <c:v>29489</c:v>
                </c:pt>
                <c:pt idx="4">
                  <c:v>25788</c:v>
                </c:pt>
                <c:pt idx="5">
                  <c:v>21447</c:v>
                </c:pt>
                <c:pt idx="6">
                  <c:v>16536</c:v>
                </c:pt>
              </c:numCache>
            </c:numRef>
          </c:yVal>
          <c:smooth val="0"/>
          <c:extLst>
            <c:ext xmlns:c16="http://schemas.microsoft.com/office/drawing/2014/chart" uri="{C3380CC4-5D6E-409C-BE32-E72D297353CC}">
              <c16:uniqueId val="{00000004-9471-4336-970C-42095D374C5D}"/>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7.2780203784570729E-2"/>
                  <c:y val="6.323396567299012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BC1-40F3-ABA1-4A66615E9520}"/>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Data'!$H$43:$N$43</c:f>
              <c:numCache>
                <c:formatCode>General</c:formatCode>
                <c:ptCount val="7"/>
                <c:pt idx="0">
                  <c:v>35151</c:v>
                </c:pt>
                <c:pt idx="1">
                  <c:v>36425</c:v>
                </c:pt>
                <c:pt idx="2">
                  <c:v>37666</c:v>
                </c:pt>
                <c:pt idx="3">
                  <c:v>39338</c:v>
                </c:pt>
                <c:pt idx="4">
                  <c:v>40519</c:v>
                </c:pt>
                <c:pt idx="5">
                  <c:v>41454</c:v>
                </c:pt>
                <c:pt idx="6">
                  <c:v>42389</c:v>
                </c:pt>
              </c:numCache>
            </c:numRef>
          </c:yVal>
          <c:smooth val="0"/>
          <c:extLst>
            <c:ext xmlns:c16="http://schemas.microsoft.com/office/drawing/2014/chart" uri="{C3380CC4-5D6E-409C-BE32-E72D297353CC}">
              <c16:uniqueId val="{00000006-9471-4336-970C-42095D374C5D}"/>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2.1834061135371178E-2"/>
                  <c:y val="-7.52785305630834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471-4336-970C-42095D374C5D}"/>
                </c:ext>
              </c:extLst>
            </c:dLbl>
            <c:dLbl>
              <c:idx val="5"/>
              <c:layout>
                <c:manualLayout>
                  <c:x val="-9.8253275109170299E-2"/>
                  <c:y val="-5.420054200542005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471-4336-970C-42095D374C5D}"/>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Data'!$C$42:$H$42</c:f>
              <c:numCache>
                <c:formatCode>General</c:formatCode>
                <c:ptCount val="6"/>
                <c:pt idx="0">
                  <c:v>26480</c:v>
                </c:pt>
                <c:pt idx="1">
                  <c:v>27784</c:v>
                </c:pt>
                <c:pt idx="2">
                  <c:v>31813</c:v>
                </c:pt>
                <c:pt idx="3">
                  <c:v>34790</c:v>
                </c:pt>
                <c:pt idx="4">
                  <c:v>34964</c:v>
                </c:pt>
                <c:pt idx="5">
                  <c:v>35151</c:v>
                </c:pt>
              </c:numCache>
            </c:numRef>
          </c:yVal>
          <c:smooth val="0"/>
          <c:extLst>
            <c:ext xmlns:c16="http://schemas.microsoft.com/office/drawing/2014/chart" uri="{C3380CC4-5D6E-409C-BE32-E72D297353CC}">
              <c16:uniqueId val="{00000002-9471-4336-970C-42095D374C5D}"/>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Perry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Data'!$H$48:$N$48</c:f>
              <c:numCache>
                <c:formatCode>#,##0</c:formatCode>
                <c:ptCount val="7"/>
                <c:pt idx="0" formatCode="General">
                  <c:v>35460</c:v>
                </c:pt>
                <c:pt idx="1">
                  <c:v>38560</c:v>
                </c:pt>
                <c:pt idx="2">
                  <c:v>41469</c:v>
                </c:pt>
                <c:pt idx="3">
                  <c:v>44979</c:v>
                </c:pt>
                <c:pt idx="4">
                  <c:v>48989</c:v>
                </c:pt>
                <c:pt idx="5">
                  <c:v>53437</c:v>
                </c:pt>
                <c:pt idx="6">
                  <c:v>58278</c:v>
                </c:pt>
              </c:numCache>
            </c:numRef>
          </c:yVal>
          <c:smooth val="0"/>
          <c:extLst>
            <c:ext xmlns:c16="http://schemas.microsoft.com/office/drawing/2014/chart" uri="{C3380CC4-5D6E-409C-BE32-E72D297353CC}">
              <c16:uniqueId val="{00000003-ABB4-4B02-ABD5-C194712D5EED}"/>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Data'!$H$49:$N$49</c:f>
              <c:numCache>
                <c:formatCode>#,##0</c:formatCode>
                <c:ptCount val="7"/>
                <c:pt idx="0" formatCode="General">
                  <c:v>35460</c:v>
                </c:pt>
                <c:pt idx="1">
                  <c:v>34761</c:v>
                </c:pt>
                <c:pt idx="2">
                  <c:v>32732</c:v>
                </c:pt>
                <c:pt idx="3">
                  <c:v>30102</c:v>
                </c:pt>
                <c:pt idx="4">
                  <c:v>26972</c:v>
                </c:pt>
                <c:pt idx="5">
                  <c:v>23404</c:v>
                </c:pt>
                <c:pt idx="6">
                  <c:v>19442</c:v>
                </c:pt>
              </c:numCache>
            </c:numRef>
          </c:yVal>
          <c:smooth val="0"/>
          <c:extLst>
            <c:ext xmlns:c16="http://schemas.microsoft.com/office/drawing/2014/chart" uri="{C3380CC4-5D6E-409C-BE32-E72D297353CC}">
              <c16:uniqueId val="{00000004-ABB4-4B02-ABD5-C194712D5EED}"/>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7.6419213973799124E-2"/>
                  <c:y val="5.11894007828966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8ED-436C-8AB6-959CDAA87B4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Data'!$H$47:$N$47</c:f>
              <c:numCache>
                <c:formatCode>General</c:formatCode>
                <c:ptCount val="7"/>
                <c:pt idx="0">
                  <c:v>35460</c:v>
                </c:pt>
                <c:pt idx="1">
                  <c:v>36859</c:v>
                </c:pt>
                <c:pt idx="2">
                  <c:v>37415</c:v>
                </c:pt>
                <c:pt idx="3">
                  <c:v>38131</c:v>
                </c:pt>
                <c:pt idx="4">
                  <c:v>38662</c:v>
                </c:pt>
                <c:pt idx="5">
                  <c:v>39102</c:v>
                </c:pt>
                <c:pt idx="6">
                  <c:v>39542</c:v>
                </c:pt>
              </c:numCache>
            </c:numRef>
          </c:yVal>
          <c:smooth val="0"/>
          <c:extLst>
            <c:ext xmlns:c16="http://schemas.microsoft.com/office/drawing/2014/chart" uri="{C3380CC4-5D6E-409C-BE32-E72D297353CC}">
              <c16:uniqueId val="{00000006-ABB4-4B02-ABD5-C194712D5EED}"/>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2.7292576419213975E-2"/>
                  <c:y val="-6.323396567299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B4-4B02-ABD5-C194712D5EED}"/>
                </c:ext>
              </c:extLst>
            </c:dLbl>
            <c:dLbl>
              <c:idx val="5"/>
              <c:layout>
                <c:manualLayout>
                  <c:x val="-0.10189228529839883"/>
                  <c:y val="-7.22673893405601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B4-4B02-ABD5-C194712D5EED}"/>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Data'!$C$46:$H$46</c:f>
              <c:numCache>
                <c:formatCode>General</c:formatCode>
                <c:ptCount val="6"/>
                <c:pt idx="0">
                  <c:v>31032</c:v>
                </c:pt>
                <c:pt idx="1">
                  <c:v>31596</c:v>
                </c:pt>
                <c:pt idx="2">
                  <c:v>34099</c:v>
                </c:pt>
                <c:pt idx="3">
                  <c:v>36037</c:v>
                </c:pt>
                <c:pt idx="4">
                  <c:v>35439</c:v>
                </c:pt>
                <c:pt idx="5">
                  <c:v>35460</c:v>
                </c:pt>
              </c:numCache>
            </c:numRef>
          </c:yVal>
          <c:smooth val="0"/>
          <c:extLst>
            <c:ext xmlns:c16="http://schemas.microsoft.com/office/drawing/2014/chart" uri="{C3380CC4-5D6E-409C-BE32-E72D297353CC}">
              <c16:uniqueId val="{00000002-ABB4-4B02-ABD5-C194712D5EED}"/>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Pickaway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Data'!$H$52:$N$52</c:f>
              <c:numCache>
                <c:formatCode>#,##0</c:formatCode>
                <c:ptCount val="7"/>
                <c:pt idx="0" formatCode="General">
                  <c:v>59333</c:v>
                </c:pt>
                <c:pt idx="1">
                  <c:v>66029</c:v>
                </c:pt>
                <c:pt idx="2">
                  <c:v>77450</c:v>
                </c:pt>
                <c:pt idx="3">
                  <c:v>91360</c:v>
                </c:pt>
                <c:pt idx="4">
                  <c:v>107272</c:v>
                </c:pt>
                <c:pt idx="5">
                  <c:v>124906</c:v>
                </c:pt>
                <c:pt idx="6">
                  <c:v>144076</c:v>
                </c:pt>
              </c:numCache>
            </c:numRef>
          </c:yVal>
          <c:smooth val="0"/>
          <c:extLst>
            <c:ext xmlns:c16="http://schemas.microsoft.com/office/drawing/2014/chart" uri="{C3380CC4-5D6E-409C-BE32-E72D297353CC}">
              <c16:uniqueId val="{00000003-C2AB-4A84-91CD-674DD974EC03}"/>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Data'!$H$53:$N$53</c:f>
              <c:numCache>
                <c:formatCode>#,##0</c:formatCode>
                <c:ptCount val="7"/>
                <c:pt idx="0" formatCode="General">
                  <c:v>59333</c:v>
                </c:pt>
                <c:pt idx="1">
                  <c:v>58005</c:v>
                </c:pt>
                <c:pt idx="2">
                  <c:v>53249</c:v>
                </c:pt>
                <c:pt idx="3">
                  <c:v>46004</c:v>
                </c:pt>
                <c:pt idx="4">
                  <c:v>36758</c:v>
                </c:pt>
                <c:pt idx="5">
                  <c:v>25789</c:v>
                </c:pt>
                <c:pt idx="6">
                  <c:v>13285</c:v>
                </c:pt>
              </c:numCache>
            </c:numRef>
          </c:yVal>
          <c:smooth val="0"/>
          <c:extLst>
            <c:ext xmlns:c16="http://schemas.microsoft.com/office/drawing/2014/chart" uri="{C3380CC4-5D6E-409C-BE32-E72D297353CC}">
              <c16:uniqueId val="{00000004-C2AB-4A84-91CD-674DD974EC03}"/>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9.2794759825327644E-2"/>
                  <c:y val="9.6356519120746761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31A-4516-AECB-B2FB624C8629}"/>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Data'!$H$51:$N$51</c:f>
              <c:numCache>
                <c:formatCode>General</c:formatCode>
                <c:ptCount val="7"/>
                <c:pt idx="0">
                  <c:v>59333</c:v>
                </c:pt>
                <c:pt idx="1">
                  <c:v>62355</c:v>
                </c:pt>
                <c:pt idx="2">
                  <c:v>65891</c:v>
                </c:pt>
                <c:pt idx="3">
                  <c:v>69716</c:v>
                </c:pt>
                <c:pt idx="4">
                  <c:v>73212</c:v>
                </c:pt>
                <c:pt idx="5">
                  <c:v>76545</c:v>
                </c:pt>
                <c:pt idx="6">
                  <c:v>79877</c:v>
                </c:pt>
              </c:numCache>
            </c:numRef>
          </c:yVal>
          <c:smooth val="0"/>
          <c:extLst>
            <c:ext xmlns:c16="http://schemas.microsoft.com/office/drawing/2014/chart" uri="{C3380CC4-5D6E-409C-BE32-E72D297353CC}">
              <c16:uniqueId val="{00000006-C2AB-4A84-91CD-674DD974EC03}"/>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1.0917030567685589E-2"/>
                  <c:y val="-7.22673893405600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2AB-4A84-91CD-674DD974EC03}"/>
                </c:ext>
              </c:extLst>
            </c:dLbl>
            <c:dLbl>
              <c:idx val="5"/>
              <c:layout>
                <c:manualLayout>
                  <c:x val="-0.12008733624454149"/>
                  <c:y val="-6.3233965672990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2AB-4A84-91CD-674DD974EC03}"/>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Data'!$C$50:$H$50</c:f>
              <c:numCache>
                <c:formatCode>General</c:formatCode>
                <c:ptCount val="6"/>
                <c:pt idx="0">
                  <c:v>43662</c:v>
                </c:pt>
                <c:pt idx="1">
                  <c:v>48257</c:v>
                </c:pt>
                <c:pt idx="2">
                  <c:v>52808</c:v>
                </c:pt>
                <c:pt idx="3">
                  <c:v>55740</c:v>
                </c:pt>
                <c:pt idx="4">
                  <c:v>58628</c:v>
                </c:pt>
                <c:pt idx="5">
                  <c:v>59333</c:v>
                </c:pt>
              </c:numCache>
            </c:numRef>
          </c:yVal>
          <c:smooth val="0"/>
          <c:extLst>
            <c:ext xmlns:c16="http://schemas.microsoft.com/office/drawing/2014/chart" uri="{C3380CC4-5D6E-409C-BE32-E72D297353CC}">
              <c16:uniqueId val="{00000002-C2AB-4A84-91CD-674DD974EC03}"/>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Ross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Data'!$H$56:$N$56</c:f>
              <c:numCache>
                <c:formatCode>#,##0</c:formatCode>
                <c:ptCount val="7"/>
                <c:pt idx="0" formatCode="General">
                  <c:v>76891</c:v>
                </c:pt>
                <c:pt idx="1">
                  <c:v>79695</c:v>
                </c:pt>
                <c:pt idx="2">
                  <c:v>85847</c:v>
                </c:pt>
                <c:pt idx="3">
                  <c:v>94070</c:v>
                </c:pt>
                <c:pt idx="4">
                  <c:v>103952</c:v>
                </c:pt>
                <c:pt idx="5">
                  <c:v>115258</c:v>
                </c:pt>
                <c:pt idx="6">
                  <c:v>127833</c:v>
                </c:pt>
              </c:numCache>
            </c:numRef>
          </c:yVal>
          <c:smooth val="0"/>
          <c:extLst>
            <c:ext xmlns:c16="http://schemas.microsoft.com/office/drawing/2014/chart" uri="{C3380CC4-5D6E-409C-BE32-E72D297353CC}">
              <c16:uniqueId val="{00000003-12CA-4F06-B71B-51837CED46F1}"/>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Data'!$H$57:$N$57</c:f>
              <c:numCache>
                <c:formatCode>#,##0</c:formatCode>
                <c:ptCount val="7"/>
                <c:pt idx="0" formatCode="General">
                  <c:v>76891</c:v>
                </c:pt>
                <c:pt idx="1">
                  <c:v>73390</c:v>
                </c:pt>
                <c:pt idx="2">
                  <c:v>66369</c:v>
                </c:pt>
                <c:pt idx="3">
                  <c:v>57266</c:v>
                </c:pt>
                <c:pt idx="4">
                  <c:v>46512</c:v>
                </c:pt>
                <c:pt idx="5">
                  <c:v>34330</c:v>
                </c:pt>
                <c:pt idx="6">
                  <c:v>20880</c:v>
                </c:pt>
              </c:numCache>
            </c:numRef>
          </c:yVal>
          <c:smooth val="0"/>
          <c:extLst>
            <c:ext xmlns:c16="http://schemas.microsoft.com/office/drawing/2014/chart" uri="{C3380CC4-5D6E-409C-BE32-E72D297353CC}">
              <c16:uniqueId val="{00000004-12CA-4F06-B71B-51837CED46F1}"/>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8.9155749636098985E-2"/>
                  <c:y val="5.721168322794344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7DF-42EA-86BC-C108D416BE0F}"/>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Data'!$H$55:$N$55</c:f>
              <c:numCache>
                <c:formatCode>General</c:formatCode>
                <c:ptCount val="7"/>
                <c:pt idx="0">
                  <c:v>76891</c:v>
                </c:pt>
                <c:pt idx="1">
                  <c:v>76590</c:v>
                </c:pt>
                <c:pt idx="2">
                  <c:v>76204</c:v>
                </c:pt>
                <c:pt idx="3">
                  <c:v>75876</c:v>
                </c:pt>
                <c:pt idx="4">
                  <c:v>75478</c:v>
                </c:pt>
                <c:pt idx="5">
                  <c:v>75040</c:v>
                </c:pt>
                <c:pt idx="6">
                  <c:v>74602</c:v>
                </c:pt>
              </c:numCache>
            </c:numRef>
          </c:yVal>
          <c:smooth val="0"/>
          <c:extLst>
            <c:ext xmlns:c16="http://schemas.microsoft.com/office/drawing/2014/chart" uri="{C3380CC4-5D6E-409C-BE32-E72D297353CC}">
              <c16:uniqueId val="{00000006-12CA-4F06-B71B-51837CED46F1}"/>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2.3653566229985445E-2"/>
                  <c:y val="-6.624510689551339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2CA-4F06-B71B-51837CED46F1}"/>
                </c:ext>
              </c:extLst>
            </c:dLbl>
            <c:dLbl>
              <c:idx val="5"/>
              <c:layout>
                <c:manualLayout>
                  <c:x val="-0.11098981077147009"/>
                  <c:y val="-6.925624811803674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2CA-4F06-B71B-51837CED46F1}"/>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Data'!$C$54:$H$54</c:f>
              <c:numCache>
                <c:formatCode>General</c:formatCode>
                <c:ptCount val="6"/>
                <c:pt idx="0">
                  <c:v>65004</c:v>
                </c:pt>
                <c:pt idx="1">
                  <c:v>69401</c:v>
                </c:pt>
                <c:pt idx="2">
                  <c:v>73507</c:v>
                </c:pt>
                <c:pt idx="3">
                  <c:v>78098</c:v>
                </c:pt>
                <c:pt idx="4">
                  <c:v>76985</c:v>
                </c:pt>
                <c:pt idx="5">
                  <c:v>76891</c:v>
                </c:pt>
              </c:numCache>
            </c:numRef>
          </c:yVal>
          <c:smooth val="0"/>
          <c:extLst>
            <c:ext xmlns:c16="http://schemas.microsoft.com/office/drawing/2014/chart" uri="{C3380CC4-5D6E-409C-BE32-E72D297353CC}">
              <c16:uniqueId val="{00000002-12CA-4F06-B71B-51837CED46F1}"/>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Union County Population</a:t>
            </a:r>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Data'!$H$60:$N$60</c:f>
              <c:numCache>
                <c:formatCode>#,##0</c:formatCode>
                <c:ptCount val="7"/>
                <c:pt idx="0" formatCode="General">
                  <c:v>64971</c:v>
                </c:pt>
                <c:pt idx="1">
                  <c:v>69664</c:v>
                </c:pt>
                <c:pt idx="2">
                  <c:v>80350</c:v>
                </c:pt>
                <c:pt idx="3">
                  <c:v>92220</c:v>
                </c:pt>
                <c:pt idx="4">
                  <c:v>105075</c:v>
                </c:pt>
                <c:pt idx="5">
                  <c:v>118792</c:v>
                </c:pt>
                <c:pt idx="6">
                  <c:v>133284</c:v>
                </c:pt>
              </c:numCache>
            </c:numRef>
          </c:yVal>
          <c:smooth val="0"/>
          <c:extLst>
            <c:ext xmlns:c16="http://schemas.microsoft.com/office/drawing/2014/chart" uri="{C3380CC4-5D6E-409C-BE32-E72D297353CC}">
              <c16:uniqueId val="{00000003-EA24-42D3-8FD4-8015E6E6E0B0}"/>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Data'!$H$61:$N$61</c:f>
              <c:numCache>
                <c:formatCode>#,##0</c:formatCode>
                <c:ptCount val="7"/>
                <c:pt idx="0" formatCode="General">
                  <c:v>64971</c:v>
                </c:pt>
                <c:pt idx="1">
                  <c:v>62368</c:v>
                </c:pt>
                <c:pt idx="2">
                  <c:v>63404</c:v>
                </c:pt>
                <c:pt idx="3">
                  <c:v>63255</c:v>
                </c:pt>
                <c:pt idx="4">
                  <c:v>62122</c:v>
                </c:pt>
                <c:pt idx="5">
                  <c:v>60127</c:v>
                </c:pt>
                <c:pt idx="6">
                  <c:v>57356</c:v>
                </c:pt>
              </c:numCache>
            </c:numRef>
          </c:yVal>
          <c:smooth val="0"/>
          <c:extLst>
            <c:ext xmlns:c16="http://schemas.microsoft.com/office/drawing/2014/chart" uri="{C3380CC4-5D6E-409C-BE32-E72D297353CC}">
              <c16:uniqueId val="{00000004-EA24-42D3-8FD4-8015E6E6E0B0}"/>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7.6419213973799124E-2"/>
                  <c:y val="9.033423667570009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BCF-48BF-A643-48ED98F3A126}"/>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Data'!$H$59:$N$59</c:f>
              <c:numCache>
                <c:formatCode>General</c:formatCode>
                <c:ptCount val="7"/>
                <c:pt idx="0">
                  <c:v>64971</c:v>
                </c:pt>
                <c:pt idx="1">
                  <c:v>66408</c:v>
                </c:pt>
                <c:pt idx="2">
                  <c:v>72505</c:v>
                </c:pt>
                <c:pt idx="3">
                  <c:v>78933</c:v>
                </c:pt>
                <c:pt idx="4">
                  <c:v>84983</c:v>
                </c:pt>
                <c:pt idx="5">
                  <c:v>90844</c:v>
                </c:pt>
                <c:pt idx="6">
                  <c:v>96705</c:v>
                </c:pt>
              </c:numCache>
            </c:numRef>
          </c:yVal>
          <c:smooth val="0"/>
          <c:extLst>
            <c:ext xmlns:c16="http://schemas.microsoft.com/office/drawing/2014/chart" uri="{C3380CC4-5D6E-409C-BE32-E72D297353CC}">
              <c16:uniqueId val="{00000006-EA24-42D3-8FD4-8015E6E6E0B0}"/>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1.8195050946142648E-2"/>
                  <c:y val="-5.721168322794339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A24-42D3-8FD4-8015E6E6E0B0}"/>
                </c:ext>
              </c:extLst>
            </c:dLbl>
            <c:dLbl>
              <c:idx val="5"/>
              <c:layout>
                <c:manualLayout>
                  <c:x val="-0.11644832605531295"/>
                  <c:y val="-6.32339656729901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A24-42D3-8FD4-8015E6E6E0B0}"/>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Data'!$C$58:$H$58</c:f>
              <c:numCache>
                <c:formatCode>General</c:formatCode>
                <c:ptCount val="6"/>
                <c:pt idx="0">
                  <c:v>29536</c:v>
                </c:pt>
                <c:pt idx="1">
                  <c:v>32010</c:v>
                </c:pt>
                <c:pt idx="2">
                  <c:v>41338</c:v>
                </c:pt>
                <c:pt idx="3">
                  <c:v>52464</c:v>
                </c:pt>
                <c:pt idx="4">
                  <c:v>63077</c:v>
                </c:pt>
                <c:pt idx="5">
                  <c:v>64971</c:v>
                </c:pt>
              </c:numCache>
            </c:numRef>
          </c:yVal>
          <c:smooth val="0"/>
          <c:extLst>
            <c:ext xmlns:c16="http://schemas.microsoft.com/office/drawing/2014/chart" uri="{C3380CC4-5D6E-409C-BE32-E72D297353CC}">
              <c16:uniqueId val="{00000002-EA24-42D3-8FD4-8015E6E6E0B0}"/>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r>
              <a:rPr lang="en-US"/>
              <a:t>15-County</a:t>
            </a:r>
            <a:r>
              <a:rPr lang="en-US" baseline="0"/>
              <a:t> Region Population</a:t>
            </a:r>
            <a:endParaRPr lang="en-US"/>
          </a:p>
        </c:rich>
      </c:tx>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0"/>
          <c:tx>
            <c:strRef>
              <c:f>'Population Chart Data'!$B$4</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Data'!$H$64:$N$64</c:f>
              <c:numCache>
                <c:formatCode>#,##0</c:formatCode>
                <c:ptCount val="7"/>
                <c:pt idx="0" formatCode="General">
                  <c:v>2431037</c:v>
                </c:pt>
                <c:pt idx="1">
                  <c:v>2597188</c:v>
                </c:pt>
                <c:pt idx="2">
                  <c:v>2816613</c:v>
                </c:pt>
                <c:pt idx="3">
                  <c:v>3068141</c:v>
                </c:pt>
                <c:pt idx="4">
                  <c:v>3345949</c:v>
                </c:pt>
                <c:pt idx="5">
                  <c:v>3646586</c:v>
                </c:pt>
                <c:pt idx="6">
                  <c:v>3967683</c:v>
                </c:pt>
              </c:numCache>
            </c:numRef>
          </c:yVal>
          <c:smooth val="0"/>
          <c:extLst>
            <c:ext xmlns:c16="http://schemas.microsoft.com/office/drawing/2014/chart" uri="{C3380CC4-5D6E-409C-BE32-E72D297353CC}">
              <c16:uniqueId val="{00000003-83D9-46E3-A35B-C019DB295F1B}"/>
            </c:ext>
          </c:extLst>
        </c:ser>
        <c:ser>
          <c:idx val="3"/>
          <c:order val="1"/>
          <c:tx>
            <c:strRef>
              <c:f>'Population Chart Data'!$B$5</c:f>
              <c:strCache>
                <c:ptCount val="1"/>
                <c:pt idx="0">
                  <c:v>Confidence limit</c:v>
                </c:pt>
              </c:strCache>
            </c:strRef>
          </c:tx>
          <c:spPr>
            <a:ln w="19050" cap="rnd">
              <a:solidFill>
                <a:srgbClr val="A6A6A6"/>
              </a:solidFill>
              <a:round/>
            </a:ln>
            <a:effectLst/>
          </c:spPr>
          <c:marker>
            <c:symbol val="circle"/>
            <c:size val="5"/>
            <c:spPr>
              <a:solidFill>
                <a:srgbClr val="A6A6A6"/>
              </a:solidFill>
              <a:ln w="9525">
                <a:solidFill>
                  <a:srgbClr val="A6A6A6"/>
                </a:solidFill>
              </a:ln>
              <a:effectLst/>
            </c:spPr>
          </c:marker>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Data'!$H$65:$N$65</c:f>
              <c:numCache>
                <c:formatCode>#,##0</c:formatCode>
                <c:ptCount val="7"/>
                <c:pt idx="0" formatCode="General">
                  <c:v>2431037</c:v>
                </c:pt>
                <c:pt idx="1">
                  <c:v>2445231</c:v>
                </c:pt>
                <c:pt idx="2">
                  <c:v>2428110</c:v>
                </c:pt>
                <c:pt idx="3">
                  <c:v>2378893</c:v>
                </c:pt>
                <c:pt idx="4">
                  <c:v>2303397</c:v>
                </c:pt>
                <c:pt idx="5">
                  <c:v>2205068</c:v>
                </c:pt>
                <c:pt idx="6">
                  <c:v>2086279</c:v>
                </c:pt>
              </c:numCache>
            </c:numRef>
          </c:yVal>
          <c:smooth val="0"/>
          <c:extLst>
            <c:ext xmlns:c16="http://schemas.microsoft.com/office/drawing/2014/chart" uri="{C3380CC4-5D6E-409C-BE32-E72D297353CC}">
              <c16:uniqueId val="{00000004-83D9-46E3-A35B-C019DB295F1B}"/>
            </c:ext>
          </c:extLst>
        </c:ser>
        <c:ser>
          <c:idx val="1"/>
          <c:order val="2"/>
          <c:tx>
            <c:strRef>
              <c:f>'Population Chart Data'!$B$3</c:f>
              <c:strCache>
                <c:ptCount val="1"/>
                <c:pt idx="0">
                  <c:v>Forecasted population</c:v>
                </c:pt>
              </c:strCache>
            </c:strRef>
          </c:tx>
          <c:spPr>
            <a:ln w="25400" cap="rnd">
              <a:solidFill>
                <a:srgbClr val="2A7F67"/>
              </a:solidFill>
              <a:round/>
            </a:ln>
            <a:effectLst/>
          </c:spPr>
          <c:marker>
            <c:symbol val="circle"/>
            <c:size val="5"/>
            <c:spPr>
              <a:solidFill>
                <a:srgbClr val="2A7F67"/>
              </a:solidFill>
              <a:ln w="9525">
                <a:solidFill>
                  <a:srgbClr val="2A7F67"/>
                </a:solidFill>
              </a:ln>
              <a:effectLst/>
            </c:spPr>
          </c:marker>
          <c:dLbls>
            <c:dLbl>
              <c:idx val="6"/>
              <c:layout>
                <c:manualLayout>
                  <c:x val="-7.096069868995647E-2"/>
                  <c:y val="7.527853056308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7AB-4074-941E-95A1356BED2F}"/>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Data'!$H$1:$N$1</c:f>
              <c:numCache>
                <c:formatCode>General</c:formatCode>
                <c:ptCount val="7"/>
                <c:pt idx="0">
                  <c:v>2021</c:v>
                </c:pt>
                <c:pt idx="1">
                  <c:v>2025</c:v>
                </c:pt>
                <c:pt idx="2">
                  <c:v>2030</c:v>
                </c:pt>
                <c:pt idx="3">
                  <c:v>2035</c:v>
                </c:pt>
                <c:pt idx="4">
                  <c:v>2040</c:v>
                </c:pt>
                <c:pt idx="5">
                  <c:v>2045</c:v>
                </c:pt>
                <c:pt idx="6">
                  <c:v>2050</c:v>
                </c:pt>
              </c:numCache>
            </c:numRef>
          </c:xVal>
          <c:yVal>
            <c:numRef>
              <c:f>'Population Chart Data'!$H$63:$N$63</c:f>
              <c:numCache>
                <c:formatCode>General</c:formatCode>
                <c:ptCount val="7"/>
                <c:pt idx="0">
                  <c:v>2431037</c:v>
                </c:pt>
                <c:pt idx="1">
                  <c:v>2555315</c:v>
                </c:pt>
                <c:pt idx="2">
                  <c:v>2676926</c:v>
                </c:pt>
                <c:pt idx="3">
                  <c:v>2827180</c:v>
                </c:pt>
                <c:pt idx="4">
                  <c:v>2944699</c:v>
                </c:pt>
                <c:pt idx="5">
                  <c:v>3045854</c:v>
                </c:pt>
                <c:pt idx="6">
                  <c:v>3147011</c:v>
                </c:pt>
              </c:numCache>
            </c:numRef>
          </c:yVal>
          <c:smooth val="0"/>
          <c:extLst>
            <c:ext xmlns:c16="http://schemas.microsoft.com/office/drawing/2014/chart" uri="{C3380CC4-5D6E-409C-BE32-E72D297353CC}">
              <c16:uniqueId val="{00000006-83D9-46E3-A35B-C019DB295F1B}"/>
            </c:ext>
          </c:extLst>
        </c:ser>
        <c:ser>
          <c:idx val="0"/>
          <c:order val="3"/>
          <c:tx>
            <c:strRef>
              <c:f>'Population Chart Data'!$B$2</c:f>
              <c:strCache>
                <c:ptCount val="1"/>
                <c:pt idx="0">
                  <c:v>Historic population</c:v>
                </c:pt>
              </c:strCache>
            </c:strRef>
          </c:tx>
          <c:spPr>
            <a:ln w="25400" cap="rnd">
              <a:solidFill>
                <a:srgbClr val="0075BF"/>
              </a:solidFill>
              <a:round/>
            </a:ln>
            <a:effectLst/>
          </c:spPr>
          <c:marker>
            <c:symbol val="circle"/>
            <c:size val="5"/>
            <c:spPr>
              <a:solidFill>
                <a:srgbClr val="0075BF"/>
              </a:solidFill>
              <a:ln w="9525">
                <a:solidFill>
                  <a:srgbClr val="0075BF"/>
                </a:solidFill>
              </a:ln>
              <a:effectLst/>
            </c:spPr>
          </c:marker>
          <c:dLbls>
            <c:dLbl>
              <c:idx val="0"/>
              <c:layout>
                <c:manualLayout>
                  <c:x val="2.0014556040756915E-2"/>
                  <c:y val="-7.5278530563083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3D9-46E3-A35B-C019DB295F1B}"/>
                </c:ext>
              </c:extLst>
            </c:dLbl>
            <c:dLbl>
              <c:idx val="5"/>
              <c:layout>
                <c:manualLayout>
                  <c:x val="-0.14374090247452687"/>
                  <c:y val="-6.624510689551345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3D9-46E3-A35B-C019DB295F1B}"/>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'Population Chart Data'!$C$1:$H$1</c:f>
              <c:numCache>
                <c:formatCode>General</c:formatCode>
                <c:ptCount val="6"/>
                <c:pt idx="0">
                  <c:v>1980</c:v>
                </c:pt>
                <c:pt idx="1">
                  <c:v>1990</c:v>
                </c:pt>
                <c:pt idx="2">
                  <c:v>2000</c:v>
                </c:pt>
                <c:pt idx="3">
                  <c:v>2010</c:v>
                </c:pt>
                <c:pt idx="4">
                  <c:v>2020</c:v>
                </c:pt>
                <c:pt idx="5">
                  <c:v>2021</c:v>
                </c:pt>
              </c:numCache>
            </c:numRef>
          </c:xVal>
          <c:yVal>
            <c:numRef>
              <c:f>'Population Chart Data'!$C$62:$H$62</c:f>
              <c:numCache>
                <c:formatCode>General</c:formatCode>
                <c:ptCount val="6"/>
                <c:pt idx="0">
                  <c:v>1571547</c:v>
                </c:pt>
                <c:pt idx="1">
                  <c:v>1719508</c:v>
                </c:pt>
                <c:pt idx="2">
                  <c:v>1950805</c:v>
                </c:pt>
                <c:pt idx="3">
                  <c:v>2186769</c:v>
                </c:pt>
                <c:pt idx="4">
                  <c:v>2421159</c:v>
                </c:pt>
                <c:pt idx="5">
                  <c:v>2431037</c:v>
                </c:pt>
              </c:numCache>
            </c:numRef>
          </c:yVal>
          <c:smooth val="0"/>
          <c:extLst>
            <c:ext xmlns:c16="http://schemas.microsoft.com/office/drawing/2014/chart" uri="{C3380CC4-5D6E-409C-BE32-E72D297353CC}">
              <c16:uniqueId val="{00000002-83D9-46E3-A35B-C019DB295F1B}"/>
            </c:ext>
          </c:extLst>
        </c:ser>
        <c:dLbls>
          <c:showLegendKey val="0"/>
          <c:showVal val="0"/>
          <c:showCatName val="0"/>
          <c:showSerName val="0"/>
          <c:showPercent val="0"/>
          <c:showBubbleSize val="0"/>
        </c:dLbls>
        <c:axId val="1903336224"/>
        <c:axId val="1903339136"/>
      </c:scatterChart>
      <c:valAx>
        <c:axId val="1903336224"/>
        <c:scaling>
          <c:orientation val="minMax"/>
          <c:max val="2050"/>
          <c:min val="198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9136"/>
        <c:crosses val="autoZero"/>
        <c:crossBetween val="midCat"/>
      </c:valAx>
      <c:valAx>
        <c:axId val="1903339136"/>
        <c:scaling>
          <c:orientation val="minMax"/>
        </c:scaling>
        <c:delete val="0"/>
        <c:axPos val="l"/>
        <c:majorGridlines>
          <c:spPr>
            <a:ln w="9525" cap="flat" cmpd="sng" algn="ctr">
              <a:solidFill>
                <a:schemeClr val="tx1">
                  <a:lumMod val="15000"/>
                  <a:lumOff val="85000"/>
                </a:schemeClr>
              </a:solidFill>
              <a:round/>
            </a:ln>
            <a:effectLst/>
          </c:spPr>
        </c:majorGridlines>
        <c:numFmt formatCode="#,##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903336224"/>
        <c:crosses val="autoZero"/>
        <c:crossBetween val="midCat"/>
      </c:valAx>
      <c:spPr>
        <a:noFill/>
        <a:ln>
          <a:noFill/>
        </a:ln>
        <a:effectLst/>
      </c:spPr>
    </c:plotArea>
    <c:legend>
      <c:legendPos val="b"/>
      <c:legendEntry>
        <c:idx val="1"/>
        <c:delete val="1"/>
      </c:legendEntry>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114301</xdr:rowOff>
    </xdr:from>
    <xdr:to>
      <xdr:col>2</xdr:col>
      <xdr:colOff>651511</xdr:colOff>
      <xdr:row>1</xdr:row>
      <xdr:rowOff>565</xdr:rowOff>
    </xdr:to>
    <xdr:pic>
      <xdr:nvPicPr>
        <xdr:cNvPr id="2" name="Picture 1">
          <a:extLst>
            <a:ext uri="{FF2B5EF4-FFF2-40B4-BE49-F238E27FC236}">
              <a16:creationId xmlns:a16="http://schemas.microsoft.com/office/drawing/2014/main" id="{381CA941-D3BA-425D-8430-56022F3C82AC}"/>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274320</xdr:colOff>
      <xdr:row>23</xdr:row>
      <xdr:rowOff>11430</xdr:rowOff>
    </xdr:to>
    <xdr:graphicFrame macro="">
      <xdr:nvGraphicFramePr>
        <xdr:cNvPr id="2" name="Chart 1">
          <a:extLst>
            <a:ext uri="{FF2B5EF4-FFF2-40B4-BE49-F238E27FC236}">
              <a16:creationId xmlns:a16="http://schemas.microsoft.com/office/drawing/2014/main" id="{3B30C372-5AC2-47B4-B350-D58990FEAA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0</xdr:rowOff>
    </xdr:from>
    <xdr:to>
      <xdr:col>11</xdr:col>
      <xdr:colOff>274320</xdr:colOff>
      <xdr:row>47</xdr:row>
      <xdr:rowOff>11430</xdr:rowOff>
    </xdr:to>
    <xdr:graphicFrame macro="">
      <xdr:nvGraphicFramePr>
        <xdr:cNvPr id="3" name="Chart 2">
          <a:extLst>
            <a:ext uri="{FF2B5EF4-FFF2-40B4-BE49-F238E27FC236}">
              <a16:creationId xmlns:a16="http://schemas.microsoft.com/office/drawing/2014/main" id="{B9C7C29A-C5E8-467C-9EA0-EABF37DD20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48</xdr:row>
      <xdr:rowOff>0</xdr:rowOff>
    </xdr:from>
    <xdr:to>
      <xdr:col>11</xdr:col>
      <xdr:colOff>274320</xdr:colOff>
      <xdr:row>71</xdr:row>
      <xdr:rowOff>11430</xdr:rowOff>
    </xdr:to>
    <xdr:graphicFrame macro="">
      <xdr:nvGraphicFramePr>
        <xdr:cNvPr id="4" name="Chart 3">
          <a:extLst>
            <a:ext uri="{FF2B5EF4-FFF2-40B4-BE49-F238E27FC236}">
              <a16:creationId xmlns:a16="http://schemas.microsoft.com/office/drawing/2014/main" id="{3C87C215-6776-4AC9-94BE-FB851E65C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72</xdr:row>
      <xdr:rowOff>0</xdr:rowOff>
    </xdr:from>
    <xdr:to>
      <xdr:col>11</xdr:col>
      <xdr:colOff>274320</xdr:colOff>
      <xdr:row>95</xdr:row>
      <xdr:rowOff>11430</xdr:rowOff>
    </xdr:to>
    <xdr:graphicFrame macro="">
      <xdr:nvGraphicFramePr>
        <xdr:cNvPr id="5" name="Chart 4">
          <a:extLst>
            <a:ext uri="{FF2B5EF4-FFF2-40B4-BE49-F238E27FC236}">
              <a16:creationId xmlns:a16="http://schemas.microsoft.com/office/drawing/2014/main" id="{60CF5A35-6E93-47C2-B08B-24DC28C020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96</xdr:row>
      <xdr:rowOff>0</xdr:rowOff>
    </xdr:from>
    <xdr:to>
      <xdr:col>11</xdr:col>
      <xdr:colOff>274320</xdr:colOff>
      <xdr:row>119</xdr:row>
      <xdr:rowOff>11430</xdr:rowOff>
    </xdr:to>
    <xdr:graphicFrame macro="">
      <xdr:nvGraphicFramePr>
        <xdr:cNvPr id="6" name="Chart 5">
          <a:extLst>
            <a:ext uri="{FF2B5EF4-FFF2-40B4-BE49-F238E27FC236}">
              <a16:creationId xmlns:a16="http://schemas.microsoft.com/office/drawing/2014/main" id="{DFED6C4D-0384-4B51-BE8A-86D3E4A662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120</xdr:row>
      <xdr:rowOff>0</xdr:rowOff>
    </xdr:from>
    <xdr:to>
      <xdr:col>11</xdr:col>
      <xdr:colOff>274320</xdr:colOff>
      <xdr:row>143</xdr:row>
      <xdr:rowOff>11430</xdr:rowOff>
    </xdr:to>
    <xdr:graphicFrame macro="">
      <xdr:nvGraphicFramePr>
        <xdr:cNvPr id="7" name="Chart 6">
          <a:extLst>
            <a:ext uri="{FF2B5EF4-FFF2-40B4-BE49-F238E27FC236}">
              <a16:creationId xmlns:a16="http://schemas.microsoft.com/office/drawing/2014/main" id="{47622942-87D3-4F46-A1B0-8546CB937A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144</xdr:row>
      <xdr:rowOff>0</xdr:rowOff>
    </xdr:from>
    <xdr:to>
      <xdr:col>11</xdr:col>
      <xdr:colOff>274320</xdr:colOff>
      <xdr:row>167</xdr:row>
      <xdr:rowOff>11430</xdr:rowOff>
    </xdr:to>
    <xdr:graphicFrame macro="">
      <xdr:nvGraphicFramePr>
        <xdr:cNvPr id="8" name="Chart 7">
          <a:extLst>
            <a:ext uri="{FF2B5EF4-FFF2-40B4-BE49-F238E27FC236}">
              <a16:creationId xmlns:a16="http://schemas.microsoft.com/office/drawing/2014/main" id="{912AED01-4B01-4FA1-AE85-B1CE94B73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168</xdr:row>
      <xdr:rowOff>0</xdr:rowOff>
    </xdr:from>
    <xdr:to>
      <xdr:col>11</xdr:col>
      <xdr:colOff>274320</xdr:colOff>
      <xdr:row>191</xdr:row>
      <xdr:rowOff>11430</xdr:rowOff>
    </xdr:to>
    <xdr:graphicFrame macro="">
      <xdr:nvGraphicFramePr>
        <xdr:cNvPr id="9" name="Chart 8">
          <a:extLst>
            <a:ext uri="{FF2B5EF4-FFF2-40B4-BE49-F238E27FC236}">
              <a16:creationId xmlns:a16="http://schemas.microsoft.com/office/drawing/2014/main" id="{97EA1CFD-A875-43BB-B09C-C34361CD8E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215</xdr:row>
      <xdr:rowOff>175260</xdr:rowOff>
    </xdr:from>
    <xdr:to>
      <xdr:col>11</xdr:col>
      <xdr:colOff>274320</xdr:colOff>
      <xdr:row>239</xdr:row>
      <xdr:rowOff>3810</xdr:rowOff>
    </xdr:to>
    <xdr:graphicFrame macro="">
      <xdr:nvGraphicFramePr>
        <xdr:cNvPr id="10" name="Chart 9">
          <a:extLst>
            <a:ext uri="{FF2B5EF4-FFF2-40B4-BE49-F238E27FC236}">
              <a16:creationId xmlns:a16="http://schemas.microsoft.com/office/drawing/2014/main" id="{AB17B941-819D-44B9-A3A0-09BB56F4E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192</xdr:row>
      <xdr:rowOff>0</xdr:rowOff>
    </xdr:from>
    <xdr:to>
      <xdr:col>11</xdr:col>
      <xdr:colOff>274320</xdr:colOff>
      <xdr:row>215</xdr:row>
      <xdr:rowOff>11430</xdr:rowOff>
    </xdr:to>
    <xdr:graphicFrame macro="">
      <xdr:nvGraphicFramePr>
        <xdr:cNvPr id="11" name="Chart 10">
          <a:extLst>
            <a:ext uri="{FF2B5EF4-FFF2-40B4-BE49-F238E27FC236}">
              <a16:creationId xmlns:a16="http://schemas.microsoft.com/office/drawing/2014/main" id="{F18534C6-6F1F-40DA-8A41-D1D4EF127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240</xdr:row>
      <xdr:rowOff>0</xdr:rowOff>
    </xdr:from>
    <xdr:to>
      <xdr:col>11</xdr:col>
      <xdr:colOff>274320</xdr:colOff>
      <xdr:row>263</xdr:row>
      <xdr:rowOff>11430</xdr:rowOff>
    </xdr:to>
    <xdr:graphicFrame macro="">
      <xdr:nvGraphicFramePr>
        <xdr:cNvPr id="12" name="Chart 11">
          <a:extLst>
            <a:ext uri="{FF2B5EF4-FFF2-40B4-BE49-F238E27FC236}">
              <a16:creationId xmlns:a16="http://schemas.microsoft.com/office/drawing/2014/main" id="{14A8CA70-F589-4229-830D-D6D03DFB6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0</xdr:colOff>
      <xdr:row>264</xdr:row>
      <xdr:rowOff>0</xdr:rowOff>
    </xdr:from>
    <xdr:to>
      <xdr:col>11</xdr:col>
      <xdr:colOff>274320</xdr:colOff>
      <xdr:row>287</xdr:row>
      <xdr:rowOff>11430</xdr:rowOff>
    </xdr:to>
    <xdr:graphicFrame macro="">
      <xdr:nvGraphicFramePr>
        <xdr:cNvPr id="13" name="Chart 12">
          <a:extLst>
            <a:ext uri="{FF2B5EF4-FFF2-40B4-BE49-F238E27FC236}">
              <a16:creationId xmlns:a16="http://schemas.microsoft.com/office/drawing/2014/main" id="{EBE39C77-9120-4D05-BC93-3E13071EDE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0</xdr:colOff>
      <xdr:row>288</xdr:row>
      <xdr:rowOff>0</xdr:rowOff>
    </xdr:from>
    <xdr:to>
      <xdr:col>11</xdr:col>
      <xdr:colOff>274320</xdr:colOff>
      <xdr:row>311</xdr:row>
      <xdr:rowOff>11430</xdr:rowOff>
    </xdr:to>
    <xdr:graphicFrame macro="">
      <xdr:nvGraphicFramePr>
        <xdr:cNvPr id="14" name="Chart 13">
          <a:extLst>
            <a:ext uri="{FF2B5EF4-FFF2-40B4-BE49-F238E27FC236}">
              <a16:creationId xmlns:a16="http://schemas.microsoft.com/office/drawing/2014/main" id="{FCD32FBE-8F81-409C-B182-7D93E0798A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0</xdr:colOff>
      <xdr:row>312</xdr:row>
      <xdr:rowOff>0</xdr:rowOff>
    </xdr:from>
    <xdr:to>
      <xdr:col>11</xdr:col>
      <xdr:colOff>274320</xdr:colOff>
      <xdr:row>335</xdr:row>
      <xdr:rowOff>11430</xdr:rowOff>
    </xdr:to>
    <xdr:graphicFrame macro="">
      <xdr:nvGraphicFramePr>
        <xdr:cNvPr id="15" name="Chart 14">
          <a:extLst>
            <a:ext uri="{FF2B5EF4-FFF2-40B4-BE49-F238E27FC236}">
              <a16:creationId xmlns:a16="http://schemas.microsoft.com/office/drawing/2014/main" id="{56CB3852-14AC-4C57-9595-EB993DF2F3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336</xdr:row>
      <xdr:rowOff>0</xdr:rowOff>
    </xdr:from>
    <xdr:to>
      <xdr:col>11</xdr:col>
      <xdr:colOff>274320</xdr:colOff>
      <xdr:row>359</xdr:row>
      <xdr:rowOff>11430</xdr:rowOff>
    </xdr:to>
    <xdr:graphicFrame macro="">
      <xdr:nvGraphicFramePr>
        <xdr:cNvPr id="16" name="Chart 15">
          <a:extLst>
            <a:ext uri="{FF2B5EF4-FFF2-40B4-BE49-F238E27FC236}">
              <a16:creationId xmlns:a16="http://schemas.microsoft.com/office/drawing/2014/main" id="{B4D2290D-DFB7-4281-85AF-0BFFF3B8E3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360</xdr:row>
      <xdr:rowOff>0</xdr:rowOff>
    </xdr:from>
    <xdr:to>
      <xdr:col>11</xdr:col>
      <xdr:colOff>274320</xdr:colOff>
      <xdr:row>383</xdr:row>
      <xdr:rowOff>11430</xdr:rowOff>
    </xdr:to>
    <xdr:graphicFrame macro="">
      <xdr:nvGraphicFramePr>
        <xdr:cNvPr id="17" name="Chart 16">
          <a:extLst>
            <a:ext uri="{FF2B5EF4-FFF2-40B4-BE49-F238E27FC236}">
              <a16:creationId xmlns:a16="http://schemas.microsoft.com/office/drawing/2014/main" id="{950E6B9F-6DB3-45E6-8B53-6A1EF5C0C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114301</xdr:rowOff>
    </xdr:from>
    <xdr:to>
      <xdr:col>1</xdr:col>
      <xdr:colOff>695326</xdr:colOff>
      <xdr:row>0</xdr:row>
      <xdr:rowOff>819715</xdr:rowOff>
    </xdr:to>
    <xdr:pic>
      <xdr:nvPicPr>
        <xdr:cNvPr id="2" name="Picture 1">
          <a:extLst>
            <a:ext uri="{FF2B5EF4-FFF2-40B4-BE49-F238E27FC236}">
              <a16:creationId xmlns:a16="http://schemas.microsoft.com/office/drawing/2014/main" id="{385B27C8-CFB9-46D2-8147-68ECB70A686F}"/>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114301</xdr:rowOff>
    </xdr:from>
    <xdr:to>
      <xdr:col>1</xdr:col>
      <xdr:colOff>695326</xdr:colOff>
      <xdr:row>0</xdr:row>
      <xdr:rowOff>819715</xdr:rowOff>
    </xdr:to>
    <xdr:pic>
      <xdr:nvPicPr>
        <xdr:cNvPr id="2" name="Picture 1">
          <a:extLst>
            <a:ext uri="{FF2B5EF4-FFF2-40B4-BE49-F238E27FC236}">
              <a16:creationId xmlns:a16="http://schemas.microsoft.com/office/drawing/2014/main" id="{3DC93E8A-1648-4E74-8E8D-0651437C195D}"/>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114301</xdr:rowOff>
    </xdr:from>
    <xdr:to>
      <xdr:col>1</xdr:col>
      <xdr:colOff>695326</xdr:colOff>
      <xdr:row>0</xdr:row>
      <xdr:rowOff>819715</xdr:rowOff>
    </xdr:to>
    <xdr:pic>
      <xdr:nvPicPr>
        <xdr:cNvPr id="2" name="Picture 1">
          <a:extLst>
            <a:ext uri="{FF2B5EF4-FFF2-40B4-BE49-F238E27FC236}">
              <a16:creationId xmlns:a16="http://schemas.microsoft.com/office/drawing/2014/main" id="{E722991D-338E-4DA9-859C-0CBC015E16C9}"/>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0</xdr:row>
      <xdr:rowOff>114301</xdr:rowOff>
    </xdr:from>
    <xdr:to>
      <xdr:col>1</xdr:col>
      <xdr:colOff>691516</xdr:colOff>
      <xdr:row>0</xdr:row>
      <xdr:rowOff>827335</xdr:rowOff>
    </xdr:to>
    <xdr:pic>
      <xdr:nvPicPr>
        <xdr:cNvPr id="2" name="Picture 1">
          <a:extLst>
            <a:ext uri="{FF2B5EF4-FFF2-40B4-BE49-F238E27FC236}">
              <a16:creationId xmlns:a16="http://schemas.microsoft.com/office/drawing/2014/main" id="{16F83C79-6FA8-4B84-AD6D-7787F0008461}"/>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114301</xdr:rowOff>
    </xdr:from>
    <xdr:to>
      <xdr:col>1</xdr:col>
      <xdr:colOff>691516</xdr:colOff>
      <xdr:row>0</xdr:row>
      <xdr:rowOff>827335</xdr:rowOff>
    </xdr:to>
    <xdr:pic>
      <xdr:nvPicPr>
        <xdr:cNvPr id="2" name="Picture 1">
          <a:extLst>
            <a:ext uri="{FF2B5EF4-FFF2-40B4-BE49-F238E27FC236}">
              <a16:creationId xmlns:a16="http://schemas.microsoft.com/office/drawing/2014/main" id="{2635D672-DE0C-4C66-A6A4-48B3D4643E08}"/>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0</xdr:row>
      <xdr:rowOff>114301</xdr:rowOff>
    </xdr:from>
    <xdr:to>
      <xdr:col>1</xdr:col>
      <xdr:colOff>691516</xdr:colOff>
      <xdr:row>0</xdr:row>
      <xdr:rowOff>827335</xdr:rowOff>
    </xdr:to>
    <xdr:pic>
      <xdr:nvPicPr>
        <xdr:cNvPr id="2" name="Picture 1">
          <a:extLst>
            <a:ext uri="{FF2B5EF4-FFF2-40B4-BE49-F238E27FC236}">
              <a16:creationId xmlns:a16="http://schemas.microsoft.com/office/drawing/2014/main" id="{469C76EB-4E37-4F45-8A59-D299E85078D1}"/>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twoCellAnchor editAs="oneCell">
    <xdr:from>
      <xdr:col>0</xdr:col>
      <xdr:colOff>1</xdr:colOff>
      <xdr:row>0</xdr:row>
      <xdr:rowOff>114301</xdr:rowOff>
    </xdr:from>
    <xdr:to>
      <xdr:col>1</xdr:col>
      <xdr:colOff>691516</xdr:colOff>
      <xdr:row>0</xdr:row>
      <xdr:rowOff>827335</xdr:rowOff>
    </xdr:to>
    <xdr:pic>
      <xdr:nvPicPr>
        <xdr:cNvPr id="3" name="Picture 2">
          <a:extLst>
            <a:ext uri="{FF2B5EF4-FFF2-40B4-BE49-F238E27FC236}">
              <a16:creationId xmlns:a16="http://schemas.microsoft.com/office/drawing/2014/main" id="{F71B109C-E243-49F4-B84D-4383D8A3F1AF}"/>
            </a:ext>
          </a:extLst>
        </xdr:cNvPr>
        <xdr:cNvPicPr>
          <a:picLocks noChangeAspect="1"/>
        </xdr:cNvPicPr>
      </xdr:nvPicPr>
      <xdr:blipFill>
        <a:blip xmlns:r="http://schemas.openxmlformats.org/officeDocument/2006/relationships" r:embed="rId1"/>
        <a:stretch>
          <a:fillRect/>
        </a:stretch>
      </xdr:blipFill>
      <xdr:spPr>
        <a:xfrm>
          <a:off x="1" y="114301"/>
          <a:ext cx="2074545" cy="705414"/>
        </a:xfrm>
        <a:prstGeom prst="rect">
          <a:avLst/>
        </a:prstGeom>
      </xdr:spPr>
    </xdr:pic>
    <xdr:clientData/>
  </xdr:twoCellAnchor>
  <xdr:twoCellAnchor editAs="oneCell">
    <xdr:from>
      <xdr:col>0</xdr:col>
      <xdr:colOff>1</xdr:colOff>
      <xdr:row>0</xdr:row>
      <xdr:rowOff>114301</xdr:rowOff>
    </xdr:from>
    <xdr:to>
      <xdr:col>1</xdr:col>
      <xdr:colOff>691516</xdr:colOff>
      <xdr:row>0</xdr:row>
      <xdr:rowOff>827335</xdr:rowOff>
    </xdr:to>
    <xdr:pic>
      <xdr:nvPicPr>
        <xdr:cNvPr id="4" name="Picture 3">
          <a:extLst>
            <a:ext uri="{FF2B5EF4-FFF2-40B4-BE49-F238E27FC236}">
              <a16:creationId xmlns:a16="http://schemas.microsoft.com/office/drawing/2014/main" id="{4B350006-B173-46D0-AEC0-F1FB611B3BE9}"/>
            </a:ext>
          </a:extLst>
        </xdr:cNvPr>
        <xdr:cNvPicPr>
          <a:picLocks noChangeAspect="1"/>
        </xdr:cNvPicPr>
      </xdr:nvPicPr>
      <xdr:blipFill>
        <a:blip xmlns:r="http://schemas.openxmlformats.org/officeDocument/2006/relationships" r:embed="rId1"/>
        <a:stretch>
          <a:fillRect/>
        </a:stretch>
      </xdr:blipFill>
      <xdr:spPr>
        <a:xfrm>
          <a:off x="1" y="114301"/>
          <a:ext cx="2074545" cy="705414"/>
        </a:xfrm>
        <a:prstGeom prst="rect">
          <a:avLst/>
        </a:prstGeom>
      </xdr:spPr>
    </xdr:pic>
    <xdr:clientData/>
  </xdr:twoCellAnchor>
  <xdr:twoCellAnchor editAs="oneCell">
    <xdr:from>
      <xdr:col>0</xdr:col>
      <xdr:colOff>1</xdr:colOff>
      <xdr:row>0</xdr:row>
      <xdr:rowOff>114301</xdr:rowOff>
    </xdr:from>
    <xdr:to>
      <xdr:col>1</xdr:col>
      <xdr:colOff>691516</xdr:colOff>
      <xdr:row>0</xdr:row>
      <xdr:rowOff>827335</xdr:rowOff>
    </xdr:to>
    <xdr:pic>
      <xdr:nvPicPr>
        <xdr:cNvPr id="5" name="Picture 4">
          <a:extLst>
            <a:ext uri="{FF2B5EF4-FFF2-40B4-BE49-F238E27FC236}">
              <a16:creationId xmlns:a16="http://schemas.microsoft.com/office/drawing/2014/main" id="{6A9AF9F2-FACA-43FD-BFD7-32569A2D65CD}"/>
            </a:ext>
          </a:extLst>
        </xdr:cNvPr>
        <xdr:cNvPicPr>
          <a:picLocks noChangeAspect="1"/>
        </xdr:cNvPicPr>
      </xdr:nvPicPr>
      <xdr:blipFill>
        <a:blip xmlns:r="http://schemas.openxmlformats.org/officeDocument/2006/relationships" r:embed="rId1"/>
        <a:stretch>
          <a:fillRect/>
        </a:stretch>
      </xdr:blipFill>
      <xdr:spPr>
        <a:xfrm>
          <a:off x="1" y="114301"/>
          <a:ext cx="2074545" cy="705414"/>
        </a:xfrm>
        <a:prstGeom prst="rect">
          <a:avLst/>
        </a:prstGeom>
      </xdr:spPr>
    </xdr:pic>
    <xdr:clientData/>
  </xdr:twoCellAnchor>
  <xdr:twoCellAnchor editAs="oneCell">
    <xdr:from>
      <xdr:col>0</xdr:col>
      <xdr:colOff>1</xdr:colOff>
      <xdr:row>0</xdr:row>
      <xdr:rowOff>114301</xdr:rowOff>
    </xdr:from>
    <xdr:to>
      <xdr:col>1</xdr:col>
      <xdr:colOff>691516</xdr:colOff>
      <xdr:row>0</xdr:row>
      <xdr:rowOff>827335</xdr:rowOff>
    </xdr:to>
    <xdr:pic>
      <xdr:nvPicPr>
        <xdr:cNvPr id="6" name="Picture 5">
          <a:extLst>
            <a:ext uri="{FF2B5EF4-FFF2-40B4-BE49-F238E27FC236}">
              <a16:creationId xmlns:a16="http://schemas.microsoft.com/office/drawing/2014/main" id="{A7925BB3-AD5A-4C89-8784-2D73F35EF639}"/>
            </a:ext>
          </a:extLst>
        </xdr:cNvPr>
        <xdr:cNvPicPr>
          <a:picLocks noChangeAspect="1"/>
        </xdr:cNvPicPr>
      </xdr:nvPicPr>
      <xdr:blipFill>
        <a:blip xmlns:r="http://schemas.openxmlformats.org/officeDocument/2006/relationships" r:embed="rId1"/>
        <a:stretch>
          <a:fillRect/>
        </a:stretch>
      </xdr:blipFill>
      <xdr:spPr>
        <a:xfrm>
          <a:off x="1" y="114301"/>
          <a:ext cx="2074545" cy="705414"/>
        </a:xfrm>
        <a:prstGeom prst="rect">
          <a:avLst/>
        </a:prstGeom>
      </xdr:spPr>
    </xdr:pic>
    <xdr:clientData/>
  </xdr:twoCellAnchor>
  <xdr:twoCellAnchor editAs="oneCell">
    <xdr:from>
      <xdr:col>0</xdr:col>
      <xdr:colOff>1</xdr:colOff>
      <xdr:row>0</xdr:row>
      <xdr:rowOff>114301</xdr:rowOff>
    </xdr:from>
    <xdr:to>
      <xdr:col>1</xdr:col>
      <xdr:colOff>691516</xdr:colOff>
      <xdr:row>0</xdr:row>
      <xdr:rowOff>827335</xdr:rowOff>
    </xdr:to>
    <xdr:pic>
      <xdr:nvPicPr>
        <xdr:cNvPr id="7" name="Picture 6">
          <a:extLst>
            <a:ext uri="{FF2B5EF4-FFF2-40B4-BE49-F238E27FC236}">
              <a16:creationId xmlns:a16="http://schemas.microsoft.com/office/drawing/2014/main" id="{D58B1383-1A1F-40EA-BE69-C4A6081492AC}"/>
            </a:ext>
          </a:extLst>
        </xdr:cNvPr>
        <xdr:cNvPicPr>
          <a:picLocks noChangeAspect="1"/>
        </xdr:cNvPicPr>
      </xdr:nvPicPr>
      <xdr:blipFill>
        <a:blip xmlns:r="http://schemas.openxmlformats.org/officeDocument/2006/relationships" r:embed="rId1"/>
        <a:stretch>
          <a:fillRect/>
        </a:stretch>
      </xdr:blipFill>
      <xdr:spPr>
        <a:xfrm>
          <a:off x="1" y="114301"/>
          <a:ext cx="2074545" cy="705414"/>
        </a:xfrm>
        <a:prstGeom prst="rect">
          <a:avLst/>
        </a:prstGeom>
      </xdr:spPr>
    </xdr:pic>
    <xdr:clientData/>
  </xdr:twoCellAnchor>
  <xdr:twoCellAnchor editAs="oneCell">
    <xdr:from>
      <xdr:col>0</xdr:col>
      <xdr:colOff>1</xdr:colOff>
      <xdr:row>0</xdr:row>
      <xdr:rowOff>114301</xdr:rowOff>
    </xdr:from>
    <xdr:to>
      <xdr:col>1</xdr:col>
      <xdr:colOff>691516</xdr:colOff>
      <xdr:row>0</xdr:row>
      <xdr:rowOff>827335</xdr:rowOff>
    </xdr:to>
    <xdr:pic>
      <xdr:nvPicPr>
        <xdr:cNvPr id="8" name="Picture 7">
          <a:extLst>
            <a:ext uri="{FF2B5EF4-FFF2-40B4-BE49-F238E27FC236}">
              <a16:creationId xmlns:a16="http://schemas.microsoft.com/office/drawing/2014/main" id="{CECD4396-1275-4F1F-AA90-6218A0BCA693}"/>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twoCellAnchor editAs="oneCell">
    <xdr:from>
      <xdr:col>0</xdr:col>
      <xdr:colOff>1</xdr:colOff>
      <xdr:row>0</xdr:row>
      <xdr:rowOff>114301</xdr:rowOff>
    </xdr:from>
    <xdr:to>
      <xdr:col>1</xdr:col>
      <xdr:colOff>691516</xdr:colOff>
      <xdr:row>0</xdr:row>
      <xdr:rowOff>827335</xdr:rowOff>
    </xdr:to>
    <xdr:pic>
      <xdr:nvPicPr>
        <xdr:cNvPr id="9" name="Picture 8">
          <a:extLst>
            <a:ext uri="{FF2B5EF4-FFF2-40B4-BE49-F238E27FC236}">
              <a16:creationId xmlns:a16="http://schemas.microsoft.com/office/drawing/2014/main" id="{0591AA61-06F8-458D-A9FB-466A6155E999}"/>
            </a:ext>
          </a:extLst>
        </xdr:cNvPr>
        <xdr:cNvPicPr>
          <a:picLocks noChangeAspect="1"/>
        </xdr:cNvPicPr>
      </xdr:nvPicPr>
      <xdr:blipFill>
        <a:blip xmlns:r="http://schemas.openxmlformats.org/officeDocument/2006/relationships" r:embed="rId1"/>
        <a:stretch>
          <a:fillRect/>
        </a:stretch>
      </xdr:blipFill>
      <xdr:spPr>
        <a:xfrm>
          <a:off x="1" y="114301"/>
          <a:ext cx="2038350" cy="7054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8F88D-9F5F-4FE8-8344-487EC12DAF10}">
  <dimension ref="A1:AS28"/>
  <sheetViews>
    <sheetView workbookViewId="0">
      <pane xSplit="1" ySplit="4" topLeftCell="AB5" activePane="bottomRight" state="frozen"/>
      <selection pane="topRight" activeCell="B1" sqref="B1"/>
      <selection pane="bottomLeft" activeCell="A5" sqref="A5"/>
      <selection pane="bottomRight" activeCell="AG4" sqref="AG4:AG19"/>
    </sheetView>
  </sheetViews>
  <sheetFormatPr defaultColWidth="111.44140625" defaultRowHeight="14.4" x14ac:dyDescent="0.3"/>
  <cols>
    <col min="1" max="1" width="10" bestFit="1" customWidth="1"/>
    <col min="2" max="2" width="10.6640625" customWidth="1"/>
    <col min="3" max="6" width="10.6640625" bestFit="1" customWidth="1"/>
    <col min="7" max="7" width="10.6640625" customWidth="1"/>
    <col min="8" max="8" width="12.44140625" bestFit="1" customWidth="1"/>
    <col min="9" max="10" width="12.44140625" customWidth="1"/>
    <col min="11" max="11" width="13.6640625" customWidth="1"/>
    <col min="12" max="12" width="14" customWidth="1"/>
    <col min="13" max="13" width="10.6640625" bestFit="1" customWidth="1"/>
    <col min="14" max="14" width="12.44140625" bestFit="1" customWidth="1"/>
    <col min="15" max="15" width="11" customWidth="1"/>
    <col min="16" max="16" width="12.44140625" bestFit="1" customWidth="1"/>
    <col min="17" max="17" width="13.33203125" customWidth="1"/>
    <col min="18" max="18" width="10.6640625" bestFit="1" customWidth="1"/>
    <col min="19" max="19" width="11.33203125" customWidth="1"/>
    <col min="20" max="20" width="12.44140625" bestFit="1" customWidth="1"/>
    <col min="21" max="21" width="11.33203125" customWidth="1"/>
    <col min="22" max="22" width="12.44140625" bestFit="1" customWidth="1"/>
    <col min="23" max="23" width="10.6640625" bestFit="1" customWidth="1"/>
    <col min="24" max="24" width="11.6640625" customWidth="1"/>
    <col min="25" max="25" width="10.44140625" bestFit="1" customWidth="1"/>
    <col min="26" max="26" width="13.109375" customWidth="1"/>
    <col min="27" max="27" width="13.33203125" customWidth="1"/>
    <col min="28" max="28" width="10.6640625" bestFit="1" customWidth="1"/>
    <col min="29" max="29" width="11.88671875" customWidth="1"/>
    <col min="30" max="30" width="10.44140625" bestFit="1" customWidth="1"/>
    <col min="31" max="31" width="12.6640625" customWidth="1"/>
    <col min="32" max="32" width="12.109375" customWidth="1"/>
    <col min="33" max="33" width="10.6640625" bestFit="1" customWidth="1"/>
    <col min="34" max="34" width="11" customWidth="1"/>
    <col min="35" max="35" width="12.44140625" customWidth="1"/>
    <col min="36" max="36" width="12.33203125" customWidth="1"/>
    <col min="37" max="37" width="12.109375" customWidth="1"/>
    <col min="38" max="38" width="2.5546875" customWidth="1"/>
    <col min="39" max="39" width="9.88671875" customWidth="1"/>
    <col min="40" max="40" width="9" customWidth="1"/>
    <col min="41" max="41" width="9.6640625" customWidth="1"/>
    <col min="42" max="42" width="2.33203125" customWidth="1"/>
    <col min="43" max="44" width="9.44140625" customWidth="1"/>
    <col min="45" max="45" width="9.109375" customWidth="1"/>
  </cols>
  <sheetData>
    <row r="1" spans="1:45" ht="65.25" customHeight="1" x14ac:dyDescent="0.4">
      <c r="D1" s="88" t="s">
        <v>58</v>
      </c>
      <c r="E1" s="88"/>
      <c r="F1" s="88"/>
      <c r="G1" s="88"/>
      <c r="H1" s="88"/>
      <c r="I1" s="88"/>
      <c r="J1" s="88"/>
      <c r="K1" s="88"/>
      <c r="L1" s="88"/>
      <c r="M1" s="88"/>
      <c r="N1" s="88"/>
      <c r="O1" s="88"/>
      <c r="P1" s="88"/>
      <c r="Q1" s="88"/>
      <c r="R1" s="88"/>
      <c r="S1" s="88"/>
      <c r="T1" s="88"/>
      <c r="U1" s="88"/>
      <c r="V1" s="88"/>
      <c r="W1" s="88"/>
    </row>
    <row r="2" spans="1:45" s="9" customFormat="1" ht="34.5" customHeight="1" x14ac:dyDescent="0.25">
      <c r="A2" s="90" t="s">
        <v>41</v>
      </c>
      <c r="B2" s="90"/>
      <c r="C2" s="90"/>
      <c r="D2" s="90"/>
      <c r="E2" s="90"/>
      <c r="F2" s="90"/>
      <c r="G2" s="90"/>
      <c r="H2" s="90"/>
      <c r="I2" s="90"/>
      <c r="J2" s="90"/>
      <c r="K2" s="90"/>
      <c r="L2" s="90"/>
      <c r="M2" s="90"/>
      <c r="N2" s="90"/>
      <c r="O2" s="90"/>
      <c r="P2" s="90"/>
      <c r="Q2" s="90"/>
      <c r="R2" s="90"/>
      <c r="S2" s="90"/>
      <c r="T2" s="90"/>
      <c r="U2" s="90"/>
      <c r="V2" s="90"/>
      <c r="W2" s="90"/>
      <c r="AM2" s="91" t="s">
        <v>118</v>
      </c>
      <c r="AN2" s="91"/>
      <c r="AO2" s="91"/>
      <c r="AQ2" s="91" t="s">
        <v>119</v>
      </c>
      <c r="AR2" s="91"/>
      <c r="AS2" s="91"/>
    </row>
    <row r="3" spans="1:45" s="5" customFormat="1" x14ac:dyDescent="0.3">
      <c r="B3" s="4">
        <v>1980</v>
      </c>
      <c r="C3" s="4">
        <v>1990</v>
      </c>
      <c r="D3" s="4">
        <v>2000</v>
      </c>
      <c r="E3" s="4">
        <v>2010</v>
      </c>
      <c r="F3" s="4">
        <v>2020</v>
      </c>
      <c r="G3" s="4">
        <v>2021</v>
      </c>
      <c r="H3" s="89">
        <v>2025</v>
      </c>
      <c r="I3" s="89"/>
      <c r="J3" s="89"/>
      <c r="K3" s="89"/>
      <c r="L3" s="89"/>
      <c r="M3" s="89">
        <v>2030</v>
      </c>
      <c r="N3" s="89"/>
      <c r="O3" s="89"/>
      <c r="P3" s="89"/>
      <c r="Q3" s="89"/>
      <c r="R3" s="89">
        <v>2035</v>
      </c>
      <c r="S3" s="89"/>
      <c r="T3" s="89"/>
      <c r="U3" s="89"/>
      <c r="V3" s="89"/>
      <c r="W3" s="89">
        <v>2040</v>
      </c>
      <c r="X3" s="89"/>
      <c r="Y3" s="89"/>
      <c r="Z3" s="89"/>
      <c r="AA3" s="89"/>
      <c r="AB3" s="89">
        <v>2045</v>
      </c>
      <c r="AC3" s="89"/>
      <c r="AD3" s="89"/>
      <c r="AE3" s="89"/>
      <c r="AF3" s="89"/>
      <c r="AG3" s="89">
        <v>2050</v>
      </c>
      <c r="AH3" s="89"/>
      <c r="AI3" s="89"/>
      <c r="AJ3" s="89"/>
      <c r="AK3" s="89"/>
      <c r="AM3" s="92" t="s">
        <v>120</v>
      </c>
      <c r="AN3" s="92"/>
      <c r="AO3" s="92"/>
      <c r="AP3" s="4"/>
      <c r="AQ3" s="92" t="s">
        <v>121</v>
      </c>
      <c r="AR3" s="92"/>
      <c r="AS3" s="92"/>
    </row>
    <row r="4" spans="1:45" s="6" customFormat="1" ht="31.8" x14ac:dyDescent="0.3">
      <c r="A4" s="48" t="s">
        <v>0</v>
      </c>
      <c r="B4" s="67" t="s">
        <v>99</v>
      </c>
      <c r="C4" s="67" t="s">
        <v>60</v>
      </c>
      <c r="D4" s="67" t="s">
        <v>60</v>
      </c>
      <c r="E4" s="67" t="s">
        <v>60</v>
      </c>
      <c r="F4" s="67" t="s">
        <v>60</v>
      </c>
      <c r="G4" s="67" t="s">
        <v>60</v>
      </c>
      <c r="H4" s="67" t="s">
        <v>100</v>
      </c>
      <c r="I4" s="67" t="s">
        <v>105</v>
      </c>
      <c r="J4" s="67" t="s">
        <v>106</v>
      </c>
      <c r="K4" s="67" t="s">
        <v>107</v>
      </c>
      <c r="L4" s="67" t="s">
        <v>108</v>
      </c>
      <c r="M4" s="67" t="s">
        <v>98</v>
      </c>
      <c r="N4" s="67" t="s">
        <v>101</v>
      </c>
      <c r="O4" s="67" t="s">
        <v>102</v>
      </c>
      <c r="P4" s="67" t="s">
        <v>103</v>
      </c>
      <c r="Q4" s="67" t="s">
        <v>104</v>
      </c>
      <c r="R4" s="67" t="s">
        <v>98</v>
      </c>
      <c r="S4" s="67" t="s">
        <v>101</v>
      </c>
      <c r="T4" s="67" t="s">
        <v>102</v>
      </c>
      <c r="U4" s="67" t="s">
        <v>103</v>
      </c>
      <c r="V4" s="67" t="s">
        <v>104</v>
      </c>
      <c r="W4" s="67" t="s">
        <v>98</v>
      </c>
      <c r="X4" s="67" t="s">
        <v>101</v>
      </c>
      <c r="Y4" s="67" t="s">
        <v>102</v>
      </c>
      <c r="Z4" s="67" t="s">
        <v>103</v>
      </c>
      <c r="AA4" s="67" t="s">
        <v>104</v>
      </c>
      <c r="AB4" s="67" t="s">
        <v>98</v>
      </c>
      <c r="AC4" s="67" t="s">
        <v>101</v>
      </c>
      <c r="AD4" s="67" t="s">
        <v>102</v>
      </c>
      <c r="AE4" s="67" t="s">
        <v>103</v>
      </c>
      <c r="AF4" s="67" t="s">
        <v>104</v>
      </c>
      <c r="AG4" s="67" t="s">
        <v>98</v>
      </c>
      <c r="AH4" s="67" t="s">
        <v>101</v>
      </c>
      <c r="AI4" s="67" t="s">
        <v>102</v>
      </c>
      <c r="AJ4" s="67" t="s">
        <v>103</v>
      </c>
      <c r="AK4" s="67" t="s">
        <v>104</v>
      </c>
      <c r="AM4" s="78" t="s">
        <v>114</v>
      </c>
      <c r="AN4" s="78" t="s">
        <v>115</v>
      </c>
      <c r="AO4" s="78" t="s">
        <v>116</v>
      </c>
      <c r="AP4" s="4"/>
      <c r="AQ4" s="78" t="s">
        <v>114</v>
      </c>
      <c r="AR4" s="78" t="s">
        <v>115</v>
      </c>
      <c r="AS4" s="78" t="s">
        <v>117</v>
      </c>
    </row>
    <row r="5" spans="1:45" s="75" customFormat="1" x14ac:dyDescent="0.3">
      <c r="A5" s="73" t="s">
        <v>18</v>
      </c>
      <c r="B5" s="70">
        <v>53840</v>
      </c>
      <c r="C5" s="70">
        <v>67482</v>
      </c>
      <c r="D5" s="70">
        <v>111759</v>
      </c>
      <c r="E5" s="70">
        <v>175099</v>
      </c>
      <c r="F5" s="70">
        <v>215062</v>
      </c>
      <c r="G5" s="70">
        <v>220740</v>
      </c>
      <c r="H5" s="70">
        <v>247016</v>
      </c>
      <c r="I5" s="71">
        <v>248441</v>
      </c>
      <c r="J5" s="71">
        <v>238464</v>
      </c>
      <c r="K5" s="71">
        <f>I5-$H$5</f>
        <v>1425</v>
      </c>
      <c r="L5" s="71">
        <f>J5-$H5</f>
        <v>-8552</v>
      </c>
      <c r="M5" s="70">
        <v>277484</v>
      </c>
      <c r="N5" s="71">
        <v>287218</v>
      </c>
      <c r="O5" s="71">
        <v>256467</v>
      </c>
      <c r="P5" s="71">
        <f>N5-$M5</f>
        <v>9734</v>
      </c>
      <c r="Q5" s="71">
        <f t="shared" ref="Q5:Q19" si="0">O5-$M5</f>
        <v>-21017</v>
      </c>
      <c r="R5" s="74">
        <v>310863</v>
      </c>
      <c r="S5" s="71">
        <v>329249</v>
      </c>
      <c r="T5" s="71">
        <v>271216</v>
      </c>
      <c r="U5" s="71">
        <f>S5-$R5</f>
        <v>18386</v>
      </c>
      <c r="V5" s="71">
        <f>T5-$R5</f>
        <v>-39647</v>
      </c>
      <c r="W5" s="74">
        <v>340917</v>
      </c>
      <c r="X5" s="71">
        <v>373888</v>
      </c>
      <c r="Y5" s="71">
        <v>283357</v>
      </c>
      <c r="Z5" s="71">
        <f>X5-$W5</f>
        <v>32971</v>
      </c>
      <c r="AA5" s="71">
        <f t="shared" ref="AA5:AA19" si="1">Y5-$W5</f>
        <v>-57560</v>
      </c>
      <c r="AB5" s="74">
        <v>369307</v>
      </c>
      <c r="AC5" s="71">
        <v>420768</v>
      </c>
      <c r="AD5" s="71">
        <v>293257</v>
      </c>
      <c r="AE5" s="71">
        <f>AC5-$AB5</f>
        <v>51461</v>
      </c>
      <c r="AF5" s="71">
        <f t="shared" ref="AF5:AF19" si="2">AD5-$AB5</f>
        <v>-76050</v>
      </c>
      <c r="AG5" s="74">
        <v>397697</v>
      </c>
      <c r="AH5" s="71">
        <v>469644</v>
      </c>
      <c r="AI5" s="71">
        <v>301161</v>
      </c>
      <c r="AJ5" s="71">
        <f>AH5-$AG5</f>
        <v>71947</v>
      </c>
      <c r="AK5" s="71">
        <f t="shared" ref="AK5:AK19" si="3">AI5-$AG5</f>
        <v>-96536</v>
      </c>
      <c r="AM5" s="79">
        <f>G5-B5</f>
        <v>166900</v>
      </c>
      <c r="AN5" s="80">
        <f>AM5/B5</f>
        <v>3.0999257057949481</v>
      </c>
      <c r="AO5" s="81">
        <f>(G5/B5)^(1/($G$3-$B$3))-1</f>
        <v>3.5012883497588909E-2</v>
      </c>
      <c r="AQ5" s="79">
        <f>AG5-G5</f>
        <v>176957</v>
      </c>
      <c r="AR5" s="80">
        <f>AQ5/G5</f>
        <v>0.80165352903868803</v>
      </c>
      <c r="AS5" s="81">
        <f>(AG5/G5)^(1/($AG$3-$G$3))-1</f>
        <v>2.0507617733701355E-2</v>
      </c>
    </row>
    <row r="6" spans="1:45" s="75" customFormat="1" x14ac:dyDescent="0.3">
      <c r="A6" s="73" t="s">
        <v>19</v>
      </c>
      <c r="B6" s="70">
        <v>93678</v>
      </c>
      <c r="C6" s="70">
        <v>103823</v>
      </c>
      <c r="D6" s="70">
        <v>123485</v>
      </c>
      <c r="E6" s="70">
        <v>146417</v>
      </c>
      <c r="F6" s="70">
        <v>159357</v>
      </c>
      <c r="G6" s="70">
        <v>161064</v>
      </c>
      <c r="H6" s="70">
        <v>169183</v>
      </c>
      <c r="I6" s="71">
        <v>171704</v>
      </c>
      <c r="J6" s="71">
        <v>163990</v>
      </c>
      <c r="K6" s="71">
        <f t="shared" ref="K6:K20" si="4">I6-H6</f>
        <v>2521</v>
      </c>
      <c r="L6" s="71">
        <f t="shared" ref="L6:L20" si="5">J6-$H6</f>
        <v>-5193</v>
      </c>
      <c r="M6" s="70">
        <v>178449</v>
      </c>
      <c r="N6" s="71">
        <v>188541</v>
      </c>
      <c r="O6" s="71">
        <v>164104</v>
      </c>
      <c r="P6" s="71">
        <f t="shared" ref="P6:P19" si="6">N6-$M6</f>
        <v>10092</v>
      </c>
      <c r="Q6" s="71">
        <f t="shared" si="0"/>
        <v>-14345</v>
      </c>
      <c r="R6" s="74">
        <v>188820</v>
      </c>
      <c r="S6" s="71">
        <v>208055</v>
      </c>
      <c r="T6" s="71">
        <v>161542</v>
      </c>
      <c r="U6" s="71">
        <f t="shared" ref="U6:U19" si="7">S6-$R6</f>
        <v>19235</v>
      </c>
      <c r="V6" s="71">
        <f t="shared" ref="V6:V19" si="8">T6-$R6</f>
        <v>-27278</v>
      </c>
      <c r="W6" s="74">
        <v>197928</v>
      </c>
      <c r="X6" s="71">
        <v>229705</v>
      </c>
      <c r="Y6" s="71">
        <v>156843</v>
      </c>
      <c r="Z6" s="71">
        <f t="shared" ref="Z6:Z19" si="9">X6-$W6</f>
        <v>31777</v>
      </c>
      <c r="AA6" s="71">
        <f t="shared" si="1"/>
        <v>-41085</v>
      </c>
      <c r="AB6" s="74">
        <v>206404</v>
      </c>
      <c r="AC6" s="71">
        <v>253189</v>
      </c>
      <c r="AD6" s="71">
        <v>150311</v>
      </c>
      <c r="AE6" s="71">
        <f t="shared" ref="AE6:AE19" si="10">AC6-$AB6</f>
        <v>46785</v>
      </c>
      <c r="AF6" s="71">
        <f t="shared" si="2"/>
        <v>-56093</v>
      </c>
      <c r="AG6" s="74">
        <v>214880</v>
      </c>
      <c r="AH6" s="71">
        <v>278304</v>
      </c>
      <c r="AI6" s="71">
        <v>142147</v>
      </c>
      <c r="AJ6" s="71">
        <f t="shared" ref="AJ6:AJ19" si="11">AH6-$AG6</f>
        <v>63424</v>
      </c>
      <c r="AK6" s="71">
        <f t="shared" si="3"/>
        <v>-72733</v>
      </c>
      <c r="AM6" s="79">
        <f>G6-B6</f>
        <v>67386</v>
      </c>
      <c r="AN6" s="80">
        <f>AM6/B6</f>
        <v>0.71933645039390248</v>
      </c>
      <c r="AO6" s="81">
        <f>(G6/B6)^(1/($G$3-$B$3))-1</f>
        <v>1.3305754605838604E-2</v>
      </c>
      <c r="AQ6" s="79">
        <f t="shared" ref="AQ6:AQ20" si="12">AG6-G6</f>
        <v>53816</v>
      </c>
      <c r="AR6" s="80">
        <f t="shared" ref="AR6:AR20" si="13">AQ6/G6</f>
        <v>0.33412804847762378</v>
      </c>
      <c r="AS6" s="81">
        <f t="shared" ref="AS6:AS20" si="14">(AG6/G6)^(1/($AG$3-$G$3))-1</f>
        <v>9.9901903881243204E-3</v>
      </c>
    </row>
    <row r="7" spans="1:45" s="76" customFormat="1" x14ac:dyDescent="0.3">
      <c r="A7" s="73" t="s">
        <v>44</v>
      </c>
      <c r="B7" s="70">
        <v>27467</v>
      </c>
      <c r="C7" s="70">
        <v>27501</v>
      </c>
      <c r="D7" s="70">
        <v>28495</v>
      </c>
      <c r="E7" s="70">
        <v>29014</v>
      </c>
      <c r="F7" s="70">
        <v>28939</v>
      </c>
      <c r="G7" s="70">
        <v>28906</v>
      </c>
      <c r="H7" s="70">
        <v>29419</v>
      </c>
      <c r="I7" s="71">
        <v>29855</v>
      </c>
      <c r="J7" s="71">
        <v>28912</v>
      </c>
      <c r="K7" s="71">
        <f t="shared" si="4"/>
        <v>436</v>
      </c>
      <c r="L7" s="71">
        <f t="shared" si="5"/>
        <v>-507</v>
      </c>
      <c r="M7" s="70">
        <v>30011</v>
      </c>
      <c r="N7" s="71">
        <v>31216</v>
      </c>
      <c r="O7" s="71">
        <v>28691</v>
      </c>
      <c r="P7" s="71">
        <f t="shared" si="6"/>
        <v>1205</v>
      </c>
      <c r="Q7" s="71">
        <f t="shared" si="0"/>
        <v>-1320</v>
      </c>
      <c r="R7" s="74">
        <v>30634</v>
      </c>
      <c r="S7" s="71">
        <v>32814</v>
      </c>
      <c r="T7" s="71">
        <v>28240</v>
      </c>
      <c r="U7" s="71">
        <f t="shared" si="7"/>
        <v>2180</v>
      </c>
      <c r="V7" s="71">
        <f t="shared" si="8"/>
        <v>-2394</v>
      </c>
      <c r="W7" s="74">
        <v>31220</v>
      </c>
      <c r="X7" s="71">
        <v>34594</v>
      </c>
      <c r="Y7" s="71">
        <v>27601</v>
      </c>
      <c r="Z7" s="71">
        <f t="shared" si="9"/>
        <v>3374</v>
      </c>
      <c r="AA7" s="71">
        <f t="shared" si="1"/>
        <v>-3619</v>
      </c>
      <c r="AB7" s="74">
        <v>31790</v>
      </c>
      <c r="AC7" s="71">
        <v>36534</v>
      </c>
      <c r="AD7" s="71">
        <v>26802</v>
      </c>
      <c r="AE7" s="71">
        <f t="shared" si="10"/>
        <v>4744</v>
      </c>
      <c r="AF7" s="71">
        <f t="shared" si="2"/>
        <v>-4988</v>
      </c>
      <c r="AG7" s="74">
        <v>32360</v>
      </c>
      <c r="AH7" s="71">
        <v>38618</v>
      </c>
      <c r="AI7" s="71">
        <v>25859</v>
      </c>
      <c r="AJ7" s="71">
        <f t="shared" si="11"/>
        <v>6258</v>
      </c>
      <c r="AK7" s="71">
        <f t="shared" si="3"/>
        <v>-6501</v>
      </c>
      <c r="AM7" s="79">
        <f t="shared" ref="AM7:AM20" si="15">G7-B7</f>
        <v>1439</v>
      </c>
      <c r="AN7" s="80">
        <f t="shared" ref="AN7:AN20" si="16">AM7/B7</f>
        <v>5.2390140896348344E-2</v>
      </c>
      <c r="AO7" s="81">
        <f t="shared" ref="AO7:AO20" si="17">(G7/B7)^(1/($G$3-$B$3))-1</f>
        <v>1.2462369313659405E-3</v>
      </c>
      <c r="AQ7" s="79">
        <f t="shared" si="12"/>
        <v>3454</v>
      </c>
      <c r="AR7" s="80">
        <f t="shared" si="13"/>
        <v>0.11949076316335709</v>
      </c>
      <c r="AS7" s="81">
        <f t="shared" si="14"/>
        <v>3.8997881223810094E-3</v>
      </c>
    </row>
    <row r="8" spans="1:45" s="75" customFormat="1" x14ac:dyDescent="0.3">
      <c r="A8" s="73" t="s">
        <v>20</v>
      </c>
      <c r="B8" s="70">
        <v>869126</v>
      </c>
      <c r="C8" s="70">
        <v>965600</v>
      </c>
      <c r="D8" s="70">
        <v>1072018</v>
      </c>
      <c r="E8" s="70">
        <v>1166202</v>
      </c>
      <c r="F8" s="70">
        <v>1324013</v>
      </c>
      <c r="G8" s="70">
        <v>1321414</v>
      </c>
      <c r="H8" s="70">
        <v>1390127</v>
      </c>
      <c r="I8" s="71">
        <v>1409654</v>
      </c>
      <c r="J8" s="71">
        <v>1333445</v>
      </c>
      <c r="K8" s="71">
        <f t="shared" si="4"/>
        <v>19527</v>
      </c>
      <c r="L8" s="71">
        <f t="shared" si="5"/>
        <v>-56682</v>
      </c>
      <c r="M8" s="70">
        <v>1447090</v>
      </c>
      <c r="N8" s="71">
        <v>1506988</v>
      </c>
      <c r="O8" s="71">
        <v>1327469</v>
      </c>
      <c r="P8" s="71">
        <f t="shared" si="6"/>
        <v>59898</v>
      </c>
      <c r="Q8" s="71">
        <f t="shared" si="0"/>
        <v>-119621</v>
      </c>
      <c r="R8" s="74">
        <v>1519844</v>
      </c>
      <c r="S8" s="71">
        <v>1617180</v>
      </c>
      <c r="T8" s="71">
        <v>1308636</v>
      </c>
      <c r="U8" s="71">
        <f t="shared" si="7"/>
        <v>97336</v>
      </c>
      <c r="V8" s="71">
        <f t="shared" si="8"/>
        <v>-211208</v>
      </c>
      <c r="W8" s="74">
        <v>1574551</v>
      </c>
      <c r="X8" s="71">
        <v>1738045</v>
      </c>
      <c r="Y8" s="71">
        <v>1279131</v>
      </c>
      <c r="Z8" s="71">
        <f t="shared" si="9"/>
        <v>163494</v>
      </c>
      <c r="AA8" s="71">
        <f t="shared" si="1"/>
        <v>-295420</v>
      </c>
      <c r="AB8" s="74">
        <v>1620232</v>
      </c>
      <c r="AC8" s="71">
        <v>1868239</v>
      </c>
      <c r="AD8" s="71">
        <v>1240296</v>
      </c>
      <c r="AE8" s="71">
        <f t="shared" si="10"/>
        <v>248007</v>
      </c>
      <c r="AF8" s="71">
        <f t="shared" si="2"/>
        <v>-379936</v>
      </c>
      <c r="AG8" s="74">
        <v>1665914</v>
      </c>
      <c r="AH8" s="71">
        <v>2006828</v>
      </c>
      <c r="AI8" s="71">
        <v>1193066</v>
      </c>
      <c r="AJ8" s="71">
        <f t="shared" si="11"/>
        <v>340914</v>
      </c>
      <c r="AK8" s="71">
        <f t="shared" si="3"/>
        <v>-472848</v>
      </c>
      <c r="AM8" s="79">
        <f t="shared" si="15"/>
        <v>452288</v>
      </c>
      <c r="AN8" s="80">
        <f t="shared" si="16"/>
        <v>0.52039405103517788</v>
      </c>
      <c r="AO8" s="81">
        <f t="shared" si="17"/>
        <v>1.0271159324551471E-2</v>
      </c>
      <c r="AQ8" s="79">
        <f t="shared" si="12"/>
        <v>344500</v>
      </c>
      <c r="AR8" s="80">
        <f t="shared" si="13"/>
        <v>0.260705577510152</v>
      </c>
      <c r="AS8" s="81">
        <f t="shared" si="14"/>
        <v>8.0206686108330594E-3</v>
      </c>
    </row>
    <row r="9" spans="1:45" s="76" customFormat="1" x14ac:dyDescent="0.3">
      <c r="A9" s="73" t="s">
        <v>45</v>
      </c>
      <c r="B9" s="70">
        <v>24304</v>
      </c>
      <c r="C9" s="70">
        <v>25594</v>
      </c>
      <c r="D9" s="70">
        <v>28262</v>
      </c>
      <c r="E9" s="70">
        <v>29478</v>
      </c>
      <c r="F9" s="70">
        <v>27999</v>
      </c>
      <c r="G9" s="70">
        <v>28097</v>
      </c>
      <c r="H9" s="70">
        <v>27965</v>
      </c>
      <c r="I9" s="71">
        <v>28660</v>
      </c>
      <c r="J9" s="71">
        <v>27122</v>
      </c>
      <c r="K9" s="71">
        <f t="shared" si="4"/>
        <v>695</v>
      </c>
      <c r="L9" s="71">
        <f t="shared" si="5"/>
        <v>-843</v>
      </c>
      <c r="M9" s="70">
        <v>27762</v>
      </c>
      <c r="N9" s="71">
        <v>29751</v>
      </c>
      <c r="O9" s="71">
        <v>25535</v>
      </c>
      <c r="P9" s="71">
        <f t="shared" si="6"/>
        <v>1989</v>
      </c>
      <c r="Q9" s="71">
        <f t="shared" si="0"/>
        <v>-2227</v>
      </c>
      <c r="R9" s="74">
        <v>27629</v>
      </c>
      <c r="S9" s="71">
        <v>31239</v>
      </c>
      <c r="T9" s="71">
        <v>23571</v>
      </c>
      <c r="U9" s="71">
        <f t="shared" si="7"/>
        <v>3610</v>
      </c>
      <c r="V9" s="71">
        <f t="shared" si="8"/>
        <v>-4058</v>
      </c>
      <c r="W9" s="74">
        <v>27428</v>
      </c>
      <c r="X9" s="71">
        <v>33041</v>
      </c>
      <c r="Y9" s="71">
        <v>21295</v>
      </c>
      <c r="Z9" s="71">
        <f t="shared" si="9"/>
        <v>5613</v>
      </c>
      <c r="AA9" s="71">
        <f t="shared" si="1"/>
        <v>-6133</v>
      </c>
      <c r="AB9" s="74">
        <v>27190</v>
      </c>
      <c r="AC9" s="71">
        <v>35114</v>
      </c>
      <c r="AD9" s="71">
        <v>18747</v>
      </c>
      <c r="AE9" s="71">
        <f t="shared" si="10"/>
        <v>7924</v>
      </c>
      <c r="AF9" s="71">
        <f t="shared" si="2"/>
        <v>-8443</v>
      </c>
      <c r="AG9" s="74">
        <v>26953</v>
      </c>
      <c r="AH9" s="71">
        <v>37429</v>
      </c>
      <c r="AI9" s="71">
        <v>15958</v>
      </c>
      <c r="AJ9" s="71">
        <f t="shared" si="11"/>
        <v>10476</v>
      </c>
      <c r="AK9" s="71">
        <f t="shared" si="3"/>
        <v>-10995</v>
      </c>
      <c r="AM9" s="79">
        <f t="shared" si="15"/>
        <v>3793</v>
      </c>
      <c r="AN9" s="80">
        <f t="shared" si="16"/>
        <v>0.15606484529295589</v>
      </c>
      <c r="AO9" s="81">
        <f t="shared" si="17"/>
        <v>3.5433816013270558E-3</v>
      </c>
      <c r="AQ9" s="79">
        <f t="shared" si="12"/>
        <v>-1144</v>
      </c>
      <c r="AR9" s="80">
        <f t="shared" si="13"/>
        <v>-4.0716090685838348E-2</v>
      </c>
      <c r="AS9" s="81">
        <f t="shared" si="14"/>
        <v>-1.4323594222954705E-3</v>
      </c>
    </row>
    <row r="10" spans="1:45" s="76" customFormat="1" x14ac:dyDescent="0.3">
      <c r="A10" s="73" t="s">
        <v>46</v>
      </c>
      <c r="B10" s="70">
        <v>46304</v>
      </c>
      <c r="C10" s="70">
        <v>47637</v>
      </c>
      <c r="D10" s="70">
        <v>54616</v>
      </c>
      <c r="E10" s="70">
        <v>61090</v>
      </c>
      <c r="F10" s="70">
        <v>62765</v>
      </c>
      <c r="G10" s="70">
        <v>62897</v>
      </c>
      <c r="H10" s="70">
        <v>64157</v>
      </c>
      <c r="I10" s="71">
        <v>65164</v>
      </c>
      <c r="J10" s="71">
        <v>61970</v>
      </c>
      <c r="K10" s="71">
        <f t="shared" si="4"/>
        <v>1007</v>
      </c>
      <c r="L10" s="71">
        <f t="shared" si="5"/>
        <v>-2187</v>
      </c>
      <c r="M10" s="70">
        <v>65339</v>
      </c>
      <c r="N10" s="71">
        <v>69227</v>
      </c>
      <c r="O10" s="71">
        <v>59572</v>
      </c>
      <c r="P10" s="71">
        <f t="shared" si="6"/>
        <v>3888</v>
      </c>
      <c r="Q10" s="71">
        <f t="shared" si="0"/>
        <v>-5767</v>
      </c>
      <c r="R10" s="74">
        <v>67013</v>
      </c>
      <c r="S10" s="71">
        <v>74288</v>
      </c>
      <c r="T10" s="71">
        <v>56176</v>
      </c>
      <c r="U10" s="71">
        <f t="shared" si="7"/>
        <v>7275</v>
      </c>
      <c r="V10" s="71">
        <f t="shared" si="8"/>
        <v>-10837</v>
      </c>
      <c r="W10" s="74">
        <v>68125</v>
      </c>
      <c r="X10" s="71">
        <v>80150</v>
      </c>
      <c r="Y10" s="71">
        <v>51978</v>
      </c>
      <c r="Z10" s="71">
        <f t="shared" si="9"/>
        <v>12025</v>
      </c>
      <c r="AA10" s="71">
        <f t="shared" si="1"/>
        <v>-16147</v>
      </c>
      <c r="AB10" s="74">
        <v>68957</v>
      </c>
      <c r="AC10" s="71">
        <v>86702</v>
      </c>
      <c r="AD10" s="71">
        <v>47091</v>
      </c>
      <c r="AE10" s="71">
        <f t="shared" si="10"/>
        <v>17745</v>
      </c>
      <c r="AF10" s="71">
        <f t="shared" si="2"/>
        <v>-21866</v>
      </c>
      <c r="AG10" s="74">
        <v>69790</v>
      </c>
      <c r="AH10" s="71">
        <v>93868</v>
      </c>
      <c r="AI10" s="71">
        <v>41589</v>
      </c>
      <c r="AJ10" s="71">
        <f t="shared" si="11"/>
        <v>24078</v>
      </c>
      <c r="AK10" s="71">
        <f t="shared" si="3"/>
        <v>-28201</v>
      </c>
      <c r="AM10" s="79">
        <f t="shared" si="15"/>
        <v>16593</v>
      </c>
      <c r="AN10" s="80">
        <f t="shared" si="16"/>
        <v>0.35834917069799588</v>
      </c>
      <c r="AO10" s="81">
        <f t="shared" si="17"/>
        <v>7.4979729361104308E-3</v>
      </c>
      <c r="AQ10" s="79">
        <f t="shared" si="12"/>
        <v>6893</v>
      </c>
      <c r="AR10" s="80">
        <f t="shared" si="13"/>
        <v>0.10959187242634784</v>
      </c>
      <c r="AS10" s="81">
        <f t="shared" si="14"/>
        <v>3.5923773554107363E-3</v>
      </c>
    </row>
    <row r="11" spans="1:45" s="75" customFormat="1" x14ac:dyDescent="0.3">
      <c r="A11" s="73" t="s">
        <v>21</v>
      </c>
      <c r="B11" s="70">
        <v>120981</v>
      </c>
      <c r="C11" s="70">
        <v>129006</v>
      </c>
      <c r="D11" s="70">
        <v>146268</v>
      </c>
      <c r="E11" s="70">
        <v>166705</v>
      </c>
      <c r="F11" s="70">
        <v>178680</v>
      </c>
      <c r="G11" s="70">
        <v>180401</v>
      </c>
      <c r="H11" s="70">
        <v>190915</v>
      </c>
      <c r="I11" s="71">
        <v>189312</v>
      </c>
      <c r="J11" s="71">
        <v>176808</v>
      </c>
      <c r="K11" s="71">
        <f t="shared" si="4"/>
        <v>-1603</v>
      </c>
      <c r="L11" s="71">
        <f t="shared" si="5"/>
        <v>-14107</v>
      </c>
      <c r="M11" s="70">
        <v>200710</v>
      </c>
      <c r="N11" s="71">
        <v>203164</v>
      </c>
      <c r="O11" s="71">
        <v>173324</v>
      </c>
      <c r="P11" s="71">
        <f t="shared" si="6"/>
        <v>2454</v>
      </c>
      <c r="Q11" s="71">
        <f t="shared" si="0"/>
        <v>-27386</v>
      </c>
      <c r="R11" s="74">
        <v>216962</v>
      </c>
      <c r="S11" s="71">
        <v>219200</v>
      </c>
      <c r="T11" s="71">
        <v>167658</v>
      </c>
      <c r="U11" s="71">
        <f t="shared" si="7"/>
        <v>2238</v>
      </c>
      <c r="V11" s="71">
        <f t="shared" si="8"/>
        <v>-49304</v>
      </c>
      <c r="W11" s="74">
        <v>225833</v>
      </c>
      <c r="X11" s="71">
        <v>237045</v>
      </c>
      <c r="Y11" s="71">
        <v>160181</v>
      </c>
      <c r="Z11" s="71">
        <f t="shared" si="9"/>
        <v>11212</v>
      </c>
      <c r="AA11" s="71">
        <f t="shared" si="1"/>
        <v>-65652</v>
      </c>
      <c r="AB11" s="74">
        <v>231017</v>
      </c>
      <c r="AC11" s="71">
        <v>256471</v>
      </c>
      <c r="AD11" s="71">
        <v>151123</v>
      </c>
      <c r="AE11" s="71">
        <f t="shared" si="10"/>
        <v>25454</v>
      </c>
      <c r="AF11" s="71">
        <f t="shared" si="2"/>
        <v>-79894</v>
      </c>
      <c r="AG11" s="74">
        <v>236202</v>
      </c>
      <c r="AH11" s="71">
        <v>277319</v>
      </c>
      <c r="AI11" s="71">
        <v>140644</v>
      </c>
      <c r="AJ11" s="71">
        <f t="shared" si="11"/>
        <v>41117</v>
      </c>
      <c r="AK11" s="71">
        <f t="shared" si="3"/>
        <v>-95558</v>
      </c>
      <c r="AM11" s="79">
        <f t="shared" si="15"/>
        <v>59420</v>
      </c>
      <c r="AN11" s="80">
        <f t="shared" si="16"/>
        <v>0.49115150312859046</v>
      </c>
      <c r="AO11" s="81">
        <f t="shared" si="17"/>
        <v>9.7927268364503828E-3</v>
      </c>
      <c r="AQ11" s="79">
        <f t="shared" si="12"/>
        <v>55801</v>
      </c>
      <c r="AR11" s="80">
        <f t="shared" si="13"/>
        <v>0.30931646720361861</v>
      </c>
      <c r="AS11" s="81">
        <f t="shared" si="14"/>
        <v>9.3366000971795149E-3</v>
      </c>
    </row>
    <row r="12" spans="1:45" s="76" customFormat="1" x14ac:dyDescent="0.3">
      <c r="A12" s="73" t="s">
        <v>47</v>
      </c>
      <c r="B12" s="70">
        <v>39155</v>
      </c>
      <c r="C12" s="70">
        <v>42417</v>
      </c>
      <c r="D12" s="70">
        <v>45984</v>
      </c>
      <c r="E12" s="70">
        <v>45743</v>
      </c>
      <c r="F12" s="70">
        <v>46065</v>
      </c>
      <c r="G12" s="70">
        <v>46035</v>
      </c>
      <c r="H12" s="70">
        <v>46095</v>
      </c>
      <c r="I12" s="71">
        <v>47290</v>
      </c>
      <c r="J12" s="71">
        <v>44871</v>
      </c>
      <c r="K12" s="71">
        <f t="shared" si="4"/>
        <v>1195</v>
      </c>
      <c r="L12" s="71">
        <f t="shared" si="5"/>
        <v>-1224</v>
      </c>
      <c r="M12" s="70">
        <v>46407</v>
      </c>
      <c r="N12" s="71">
        <v>49351</v>
      </c>
      <c r="O12" s="71">
        <v>43377</v>
      </c>
      <c r="P12" s="71">
        <f t="shared" si="6"/>
        <v>2944</v>
      </c>
      <c r="Q12" s="71">
        <f t="shared" si="0"/>
        <v>-3030</v>
      </c>
      <c r="R12" s="74">
        <v>46763</v>
      </c>
      <c r="S12" s="71">
        <v>51833</v>
      </c>
      <c r="T12" s="71">
        <v>41448</v>
      </c>
      <c r="U12" s="71">
        <f t="shared" si="7"/>
        <v>5070</v>
      </c>
      <c r="V12" s="71">
        <f t="shared" si="8"/>
        <v>-5315</v>
      </c>
      <c r="W12" s="74">
        <v>47058</v>
      </c>
      <c r="X12" s="71">
        <v>54679</v>
      </c>
      <c r="Y12" s="71">
        <v>39156</v>
      </c>
      <c r="Z12" s="71">
        <f t="shared" si="9"/>
        <v>7621</v>
      </c>
      <c r="AA12" s="71">
        <f t="shared" si="1"/>
        <v>-7902</v>
      </c>
      <c r="AB12" s="74">
        <v>47335</v>
      </c>
      <c r="AC12" s="71">
        <v>57844</v>
      </c>
      <c r="AD12" s="71">
        <v>36544</v>
      </c>
      <c r="AE12" s="71">
        <f t="shared" si="10"/>
        <v>10509</v>
      </c>
      <c r="AF12" s="71">
        <f t="shared" si="2"/>
        <v>-10791</v>
      </c>
      <c r="AG12" s="74">
        <v>47611</v>
      </c>
      <c r="AH12" s="71">
        <v>61297</v>
      </c>
      <c r="AI12" s="71">
        <v>33644</v>
      </c>
      <c r="AJ12" s="71">
        <f t="shared" si="11"/>
        <v>13686</v>
      </c>
      <c r="AK12" s="71">
        <f t="shared" si="3"/>
        <v>-13967</v>
      </c>
      <c r="AM12" s="79">
        <f t="shared" si="15"/>
        <v>6880</v>
      </c>
      <c r="AN12" s="80">
        <f t="shared" si="16"/>
        <v>0.17571191418720469</v>
      </c>
      <c r="AO12" s="81">
        <f t="shared" si="17"/>
        <v>3.9559468297183376E-3</v>
      </c>
      <c r="AQ12" s="79">
        <f t="shared" si="12"/>
        <v>1576</v>
      </c>
      <c r="AR12" s="80">
        <f t="shared" si="13"/>
        <v>3.4234821331595527E-2</v>
      </c>
      <c r="AS12" s="81">
        <f t="shared" si="14"/>
        <v>1.1614273914668516E-3</v>
      </c>
    </row>
    <row r="13" spans="1:45" s="75" customFormat="1" x14ac:dyDescent="0.3">
      <c r="A13" s="73" t="s">
        <v>22</v>
      </c>
      <c r="B13" s="70">
        <v>33004</v>
      </c>
      <c r="C13" s="70">
        <v>37111</v>
      </c>
      <c r="D13" s="70">
        <v>40218</v>
      </c>
      <c r="E13" s="70">
        <v>43434</v>
      </c>
      <c r="F13" s="70">
        <v>43823</v>
      </c>
      <c r="G13" s="70">
        <v>44386</v>
      </c>
      <c r="H13" s="70">
        <v>46487</v>
      </c>
      <c r="I13" s="71">
        <v>49508</v>
      </c>
      <c r="J13" s="71">
        <v>42918</v>
      </c>
      <c r="K13" s="71">
        <f t="shared" si="4"/>
        <v>3021</v>
      </c>
      <c r="L13" s="71">
        <f t="shared" si="5"/>
        <v>-3569</v>
      </c>
      <c r="M13" s="70">
        <v>48833</v>
      </c>
      <c r="N13" s="71">
        <v>58168</v>
      </c>
      <c r="O13" s="71">
        <v>38616</v>
      </c>
      <c r="P13" s="71">
        <f t="shared" si="6"/>
        <v>9335</v>
      </c>
      <c r="Q13" s="71">
        <f t="shared" si="0"/>
        <v>-10217</v>
      </c>
      <c r="R13" s="74">
        <v>51412</v>
      </c>
      <c r="S13" s="71">
        <v>68798</v>
      </c>
      <c r="T13" s="71">
        <v>32345</v>
      </c>
      <c r="U13" s="71">
        <f t="shared" si="7"/>
        <v>17386</v>
      </c>
      <c r="V13" s="71">
        <f t="shared" si="8"/>
        <v>-19067</v>
      </c>
      <c r="W13" s="74">
        <v>53726</v>
      </c>
      <c r="X13" s="71">
        <v>81014</v>
      </c>
      <c r="Y13" s="71">
        <v>24486</v>
      </c>
      <c r="Z13" s="71">
        <f t="shared" si="9"/>
        <v>27288</v>
      </c>
      <c r="AA13" s="71">
        <f t="shared" si="1"/>
        <v>-29240</v>
      </c>
      <c r="AB13" s="74">
        <v>55905</v>
      </c>
      <c r="AC13" s="71">
        <v>94597</v>
      </c>
      <c r="AD13" s="71">
        <v>15261</v>
      </c>
      <c r="AE13" s="71">
        <f t="shared" si="10"/>
        <v>38692</v>
      </c>
      <c r="AF13" s="71">
        <f t="shared" si="2"/>
        <v>-40644</v>
      </c>
      <c r="AG13" s="74">
        <v>58084</v>
      </c>
      <c r="AH13" s="71">
        <v>109400</v>
      </c>
      <c r="AI13" s="71">
        <v>4816</v>
      </c>
      <c r="AJ13" s="71">
        <f t="shared" si="11"/>
        <v>51316</v>
      </c>
      <c r="AK13" s="71">
        <f t="shared" si="3"/>
        <v>-53268</v>
      </c>
      <c r="AM13" s="79">
        <f t="shared" si="15"/>
        <v>11382</v>
      </c>
      <c r="AN13" s="80">
        <f t="shared" si="16"/>
        <v>0.34486728881347717</v>
      </c>
      <c r="AO13" s="81">
        <f t="shared" si="17"/>
        <v>7.2528912906175691E-3</v>
      </c>
      <c r="AQ13" s="79">
        <f t="shared" si="12"/>
        <v>13698</v>
      </c>
      <c r="AR13" s="80">
        <f t="shared" si="13"/>
        <v>0.30861082323255079</v>
      </c>
      <c r="AS13" s="81">
        <f t="shared" si="14"/>
        <v>9.3178375391547164E-3</v>
      </c>
    </row>
    <row r="14" spans="1:45" s="76" customFormat="1" x14ac:dyDescent="0.3">
      <c r="A14" s="73" t="s">
        <v>48</v>
      </c>
      <c r="B14" s="70">
        <v>67974</v>
      </c>
      <c r="C14" s="70">
        <v>64289</v>
      </c>
      <c r="D14" s="70">
        <v>66135</v>
      </c>
      <c r="E14" s="70">
        <v>66458</v>
      </c>
      <c r="F14" s="70">
        <v>65363</v>
      </c>
      <c r="G14" s="70">
        <v>65291</v>
      </c>
      <c r="H14" s="70">
        <v>65314</v>
      </c>
      <c r="I14" s="71">
        <v>66329</v>
      </c>
      <c r="J14" s="71">
        <v>63731</v>
      </c>
      <c r="K14" s="71">
        <f t="shared" si="4"/>
        <v>1015</v>
      </c>
      <c r="L14" s="71">
        <f t="shared" si="5"/>
        <v>-1583</v>
      </c>
      <c r="M14" s="70">
        <v>65160</v>
      </c>
      <c r="N14" s="71">
        <v>66651</v>
      </c>
      <c r="O14" s="71">
        <v>62754</v>
      </c>
      <c r="P14" s="71">
        <f t="shared" si="6"/>
        <v>1491</v>
      </c>
      <c r="Q14" s="71">
        <f t="shared" si="0"/>
        <v>-2406</v>
      </c>
      <c r="R14" s="74">
        <v>65246</v>
      </c>
      <c r="S14" s="71">
        <v>66806</v>
      </c>
      <c r="T14" s="71">
        <v>61945</v>
      </c>
      <c r="U14" s="71">
        <f t="shared" si="7"/>
        <v>1560</v>
      </c>
      <c r="V14" s="71">
        <f t="shared" si="8"/>
        <v>-3301</v>
      </c>
      <c r="W14" s="74">
        <v>65059</v>
      </c>
      <c r="X14" s="71">
        <v>66879</v>
      </c>
      <c r="Y14" s="71">
        <v>61217</v>
      </c>
      <c r="Z14" s="71">
        <f t="shared" si="9"/>
        <v>1820</v>
      </c>
      <c r="AA14" s="71">
        <f t="shared" si="1"/>
        <v>-3842</v>
      </c>
      <c r="AB14" s="74">
        <v>64732</v>
      </c>
      <c r="AC14" s="71">
        <v>66903</v>
      </c>
      <c r="AD14" s="71">
        <v>60539</v>
      </c>
      <c r="AE14" s="71">
        <f t="shared" si="10"/>
        <v>2171</v>
      </c>
      <c r="AF14" s="71">
        <f t="shared" si="2"/>
        <v>-4193</v>
      </c>
      <c r="AG14" s="74">
        <v>64405</v>
      </c>
      <c r="AH14" s="71">
        <v>66892</v>
      </c>
      <c r="AI14" s="71">
        <v>59896</v>
      </c>
      <c r="AJ14" s="71">
        <f t="shared" si="11"/>
        <v>2487</v>
      </c>
      <c r="AK14" s="71">
        <f t="shared" si="3"/>
        <v>-4509</v>
      </c>
      <c r="AM14" s="79">
        <f t="shared" si="15"/>
        <v>-2683</v>
      </c>
      <c r="AN14" s="80">
        <f t="shared" si="16"/>
        <v>-3.9470974196016126E-2</v>
      </c>
      <c r="AO14" s="81">
        <f t="shared" si="17"/>
        <v>-9.8173918715394048E-4</v>
      </c>
      <c r="AQ14" s="79">
        <f t="shared" si="12"/>
        <v>-886</v>
      </c>
      <c r="AR14" s="80">
        <f t="shared" si="13"/>
        <v>-1.3570017307132682E-2</v>
      </c>
      <c r="AS14" s="81">
        <f t="shared" si="14"/>
        <v>-4.710246025273479E-4</v>
      </c>
    </row>
    <row r="15" spans="1:45" s="76" customFormat="1" x14ac:dyDescent="0.3">
      <c r="A15" s="73" t="s">
        <v>49</v>
      </c>
      <c r="B15" s="70">
        <v>26480</v>
      </c>
      <c r="C15" s="70">
        <v>27784</v>
      </c>
      <c r="D15" s="70">
        <v>31813</v>
      </c>
      <c r="E15" s="70">
        <v>34790</v>
      </c>
      <c r="F15" s="70">
        <v>34964</v>
      </c>
      <c r="G15" s="70">
        <v>35151</v>
      </c>
      <c r="H15" s="70">
        <v>36425</v>
      </c>
      <c r="I15" s="71">
        <v>37323</v>
      </c>
      <c r="J15" s="71">
        <v>34476</v>
      </c>
      <c r="K15" s="71">
        <f t="shared" si="4"/>
        <v>898</v>
      </c>
      <c r="L15" s="71">
        <f t="shared" si="5"/>
        <v>-1949</v>
      </c>
      <c r="M15" s="70">
        <v>37666</v>
      </c>
      <c r="N15" s="71">
        <v>41222</v>
      </c>
      <c r="O15" s="71">
        <v>32447</v>
      </c>
      <c r="P15" s="71">
        <f t="shared" si="6"/>
        <v>3556</v>
      </c>
      <c r="Q15" s="71">
        <f t="shared" si="0"/>
        <v>-5219</v>
      </c>
      <c r="R15" s="74">
        <v>39338</v>
      </c>
      <c r="S15" s="71">
        <v>46050</v>
      </c>
      <c r="T15" s="71">
        <v>29489</v>
      </c>
      <c r="U15" s="71">
        <f t="shared" si="7"/>
        <v>6712</v>
      </c>
      <c r="V15" s="71">
        <f t="shared" si="8"/>
        <v>-9849</v>
      </c>
      <c r="W15" s="74">
        <v>40519</v>
      </c>
      <c r="X15" s="71">
        <v>51621</v>
      </c>
      <c r="Y15" s="71">
        <v>25788</v>
      </c>
      <c r="Z15" s="71">
        <f t="shared" si="9"/>
        <v>11102</v>
      </c>
      <c r="AA15" s="71">
        <f t="shared" si="1"/>
        <v>-14731</v>
      </c>
      <c r="AB15" s="74">
        <v>41454</v>
      </c>
      <c r="AC15" s="71">
        <v>57832</v>
      </c>
      <c r="AD15" s="71">
        <v>21447</v>
      </c>
      <c r="AE15" s="71">
        <f t="shared" si="10"/>
        <v>16378</v>
      </c>
      <c r="AF15" s="71">
        <f t="shared" si="2"/>
        <v>-20007</v>
      </c>
      <c r="AG15" s="74">
        <v>42389</v>
      </c>
      <c r="AH15" s="71">
        <v>64613</v>
      </c>
      <c r="AI15" s="71">
        <v>16536</v>
      </c>
      <c r="AJ15" s="71">
        <f t="shared" si="11"/>
        <v>22224</v>
      </c>
      <c r="AK15" s="71">
        <f t="shared" si="3"/>
        <v>-25853</v>
      </c>
      <c r="AM15" s="79">
        <f t="shared" si="15"/>
        <v>8671</v>
      </c>
      <c r="AN15" s="80">
        <f t="shared" si="16"/>
        <v>0.32745468277945622</v>
      </c>
      <c r="AO15" s="81">
        <f t="shared" si="17"/>
        <v>6.9327831045136179E-3</v>
      </c>
      <c r="AQ15" s="79">
        <f t="shared" si="12"/>
        <v>7238</v>
      </c>
      <c r="AR15" s="80">
        <f t="shared" si="13"/>
        <v>0.20591163836021734</v>
      </c>
      <c r="AS15" s="81">
        <f t="shared" si="14"/>
        <v>6.4772953663285726E-3</v>
      </c>
    </row>
    <row r="16" spans="1:45" s="76" customFormat="1" x14ac:dyDescent="0.3">
      <c r="A16" s="73" t="s">
        <v>50</v>
      </c>
      <c r="B16" s="70">
        <v>31032</v>
      </c>
      <c r="C16" s="70">
        <v>31596</v>
      </c>
      <c r="D16" s="70">
        <v>34099</v>
      </c>
      <c r="E16" s="70">
        <v>36037</v>
      </c>
      <c r="F16" s="70">
        <v>35439</v>
      </c>
      <c r="G16" s="70">
        <v>35460</v>
      </c>
      <c r="H16" s="70">
        <v>36859</v>
      </c>
      <c r="I16" s="71">
        <v>38560</v>
      </c>
      <c r="J16" s="71">
        <v>34761</v>
      </c>
      <c r="K16" s="71">
        <f t="shared" si="4"/>
        <v>1701</v>
      </c>
      <c r="L16" s="71">
        <f t="shared" si="5"/>
        <v>-2098</v>
      </c>
      <c r="M16" s="70">
        <v>37415</v>
      </c>
      <c r="N16" s="71">
        <v>41469</v>
      </c>
      <c r="O16" s="71">
        <v>32732</v>
      </c>
      <c r="P16" s="71">
        <f t="shared" si="6"/>
        <v>4054</v>
      </c>
      <c r="Q16" s="71">
        <f t="shared" si="0"/>
        <v>-4683</v>
      </c>
      <c r="R16" s="74">
        <v>38131</v>
      </c>
      <c r="S16" s="71">
        <v>44979</v>
      </c>
      <c r="T16" s="71">
        <v>30102</v>
      </c>
      <c r="U16" s="71">
        <f t="shared" si="7"/>
        <v>6848</v>
      </c>
      <c r="V16" s="71">
        <f t="shared" si="8"/>
        <v>-8029</v>
      </c>
      <c r="W16" s="74">
        <v>38662</v>
      </c>
      <c r="X16" s="71">
        <v>48989</v>
      </c>
      <c r="Y16" s="71">
        <v>26972</v>
      </c>
      <c r="Z16" s="71">
        <f t="shared" si="9"/>
        <v>10327</v>
      </c>
      <c r="AA16" s="71">
        <f t="shared" si="1"/>
        <v>-11690</v>
      </c>
      <c r="AB16" s="74">
        <v>39102</v>
      </c>
      <c r="AC16" s="71">
        <v>53437</v>
      </c>
      <c r="AD16" s="71">
        <v>23404</v>
      </c>
      <c r="AE16" s="71">
        <f t="shared" si="10"/>
        <v>14335</v>
      </c>
      <c r="AF16" s="71">
        <f t="shared" si="2"/>
        <v>-15698</v>
      </c>
      <c r="AG16" s="74">
        <v>39542</v>
      </c>
      <c r="AH16" s="71">
        <v>58278</v>
      </c>
      <c r="AI16" s="71">
        <v>19442</v>
      </c>
      <c r="AJ16" s="71">
        <f t="shared" si="11"/>
        <v>18736</v>
      </c>
      <c r="AK16" s="71">
        <f t="shared" si="3"/>
        <v>-20100</v>
      </c>
      <c r="AM16" s="79">
        <f t="shared" si="15"/>
        <v>4428</v>
      </c>
      <c r="AN16" s="80">
        <f t="shared" si="16"/>
        <v>0.14269141531322505</v>
      </c>
      <c r="AO16" s="81">
        <f t="shared" si="17"/>
        <v>3.258623918958703E-3</v>
      </c>
      <c r="AQ16" s="79">
        <f t="shared" si="12"/>
        <v>4082</v>
      </c>
      <c r="AR16" s="80">
        <f t="shared" si="13"/>
        <v>0.11511562323745064</v>
      </c>
      <c r="AS16" s="81">
        <f t="shared" si="14"/>
        <v>3.7642428089197377E-3</v>
      </c>
    </row>
    <row r="17" spans="1:45" s="75" customFormat="1" x14ac:dyDescent="0.3">
      <c r="A17" s="73" t="s">
        <v>23</v>
      </c>
      <c r="B17" s="70">
        <v>43662</v>
      </c>
      <c r="C17" s="70">
        <v>48257</v>
      </c>
      <c r="D17" s="70">
        <v>52808</v>
      </c>
      <c r="E17" s="70">
        <v>55740</v>
      </c>
      <c r="F17" s="70">
        <v>58628</v>
      </c>
      <c r="G17" s="70">
        <v>59333</v>
      </c>
      <c r="H17" s="70">
        <v>62355</v>
      </c>
      <c r="I17" s="71">
        <v>66029</v>
      </c>
      <c r="J17" s="71">
        <v>58005</v>
      </c>
      <c r="K17" s="71">
        <f t="shared" si="4"/>
        <v>3674</v>
      </c>
      <c r="L17" s="71">
        <f t="shared" si="5"/>
        <v>-4350</v>
      </c>
      <c r="M17" s="70">
        <v>65891</v>
      </c>
      <c r="N17" s="71">
        <v>77450</v>
      </c>
      <c r="O17" s="71">
        <v>53249</v>
      </c>
      <c r="P17" s="71">
        <f t="shared" si="6"/>
        <v>11559</v>
      </c>
      <c r="Q17" s="71">
        <f t="shared" si="0"/>
        <v>-12642</v>
      </c>
      <c r="R17" s="74">
        <v>69716</v>
      </c>
      <c r="S17" s="71">
        <v>91360</v>
      </c>
      <c r="T17" s="71">
        <v>46004</v>
      </c>
      <c r="U17" s="71">
        <f t="shared" si="7"/>
        <v>21644</v>
      </c>
      <c r="V17" s="71">
        <f t="shared" si="8"/>
        <v>-23712</v>
      </c>
      <c r="W17" s="74">
        <v>73212</v>
      </c>
      <c r="X17" s="71">
        <v>107272</v>
      </c>
      <c r="Y17" s="71">
        <v>36758</v>
      </c>
      <c r="Z17" s="71">
        <f t="shared" si="9"/>
        <v>34060</v>
      </c>
      <c r="AA17" s="71">
        <f t="shared" si="1"/>
        <v>-36454</v>
      </c>
      <c r="AB17" s="74">
        <v>76545</v>
      </c>
      <c r="AC17" s="71">
        <v>124906</v>
      </c>
      <c r="AD17" s="71">
        <v>25789</v>
      </c>
      <c r="AE17" s="71">
        <f t="shared" si="10"/>
        <v>48361</v>
      </c>
      <c r="AF17" s="71">
        <f t="shared" si="2"/>
        <v>-50756</v>
      </c>
      <c r="AG17" s="74">
        <v>79877</v>
      </c>
      <c r="AH17" s="71">
        <v>144076</v>
      </c>
      <c r="AI17" s="71">
        <v>13285</v>
      </c>
      <c r="AJ17" s="71">
        <f t="shared" si="11"/>
        <v>64199</v>
      </c>
      <c r="AK17" s="71">
        <f t="shared" si="3"/>
        <v>-66592</v>
      </c>
      <c r="AM17" s="79">
        <f t="shared" si="15"/>
        <v>15671</v>
      </c>
      <c r="AN17" s="80">
        <f t="shared" si="16"/>
        <v>0.3589162200540516</v>
      </c>
      <c r="AO17" s="81">
        <f t="shared" si="17"/>
        <v>7.5082290147232555E-3</v>
      </c>
      <c r="AQ17" s="79">
        <f t="shared" si="12"/>
        <v>20544</v>
      </c>
      <c r="AR17" s="80">
        <f t="shared" si="13"/>
        <v>0.34624913623110243</v>
      </c>
      <c r="AS17" s="81">
        <f t="shared" si="14"/>
        <v>1.0305230259376685E-2</v>
      </c>
    </row>
    <row r="18" spans="1:45" s="76" customFormat="1" x14ac:dyDescent="0.3">
      <c r="A18" s="73" t="s">
        <v>51</v>
      </c>
      <c r="B18" s="70">
        <v>65004</v>
      </c>
      <c r="C18" s="70">
        <v>69401</v>
      </c>
      <c r="D18" s="70">
        <v>73507</v>
      </c>
      <c r="E18" s="70">
        <v>78098</v>
      </c>
      <c r="F18" s="70">
        <v>76985</v>
      </c>
      <c r="G18" s="70">
        <v>76891</v>
      </c>
      <c r="H18" s="70">
        <v>76590</v>
      </c>
      <c r="I18" s="71">
        <v>79695</v>
      </c>
      <c r="J18" s="71">
        <v>73390</v>
      </c>
      <c r="K18" s="71">
        <f t="shared" si="4"/>
        <v>3105</v>
      </c>
      <c r="L18" s="71">
        <f t="shared" si="5"/>
        <v>-3200</v>
      </c>
      <c r="M18" s="70">
        <v>76204</v>
      </c>
      <c r="N18" s="71">
        <v>85847</v>
      </c>
      <c r="O18" s="71">
        <v>66369</v>
      </c>
      <c r="P18" s="71">
        <f t="shared" si="6"/>
        <v>9643</v>
      </c>
      <c r="Q18" s="71">
        <f t="shared" si="0"/>
        <v>-9835</v>
      </c>
      <c r="R18" s="74">
        <v>75876</v>
      </c>
      <c r="S18" s="71">
        <v>94070</v>
      </c>
      <c r="T18" s="71">
        <v>57266</v>
      </c>
      <c r="U18" s="71">
        <f t="shared" si="7"/>
        <v>18194</v>
      </c>
      <c r="V18" s="71">
        <f t="shared" si="8"/>
        <v>-18610</v>
      </c>
      <c r="W18" s="74">
        <v>75478</v>
      </c>
      <c r="X18" s="71">
        <v>103952</v>
      </c>
      <c r="Y18" s="71">
        <v>46512</v>
      </c>
      <c r="Z18" s="71">
        <f t="shared" si="9"/>
        <v>28474</v>
      </c>
      <c r="AA18" s="71">
        <f t="shared" si="1"/>
        <v>-28966</v>
      </c>
      <c r="AB18" s="74">
        <v>75040</v>
      </c>
      <c r="AC18" s="71">
        <v>115258</v>
      </c>
      <c r="AD18" s="71">
        <v>34330</v>
      </c>
      <c r="AE18" s="71">
        <f t="shared" si="10"/>
        <v>40218</v>
      </c>
      <c r="AF18" s="71">
        <f t="shared" si="2"/>
        <v>-40710</v>
      </c>
      <c r="AG18" s="74">
        <v>74602</v>
      </c>
      <c r="AH18" s="71">
        <v>127833</v>
      </c>
      <c r="AI18" s="71">
        <v>20880</v>
      </c>
      <c r="AJ18" s="71">
        <f t="shared" si="11"/>
        <v>53231</v>
      </c>
      <c r="AK18" s="71">
        <f t="shared" si="3"/>
        <v>-53722</v>
      </c>
      <c r="AM18" s="79">
        <f t="shared" si="15"/>
        <v>11887</v>
      </c>
      <c r="AN18" s="80">
        <f t="shared" si="16"/>
        <v>0.18286566980493507</v>
      </c>
      <c r="AO18" s="81">
        <f t="shared" si="17"/>
        <v>4.104498722282468E-3</v>
      </c>
      <c r="AQ18" s="79">
        <f t="shared" si="12"/>
        <v>-2289</v>
      </c>
      <c r="AR18" s="80">
        <f t="shared" si="13"/>
        <v>-2.9769413845573606E-2</v>
      </c>
      <c r="AS18" s="81">
        <f t="shared" si="14"/>
        <v>-1.0415784922357396E-3</v>
      </c>
    </row>
    <row r="19" spans="1:45" s="75" customFormat="1" x14ac:dyDescent="0.3">
      <c r="A19" s="73" t="s">
        <v>24</v>
      </c>
      <c r="B19" s="70">
        <v>29536</v>
      </c>
      <c r="C19" s="70">
        <v>32010</v>
      </c>
      <c r="D19" s="70">
        <v>41338</v>
      </c>
      <c r="E19" s="70">
        <v>52464</v>
      </c>
      <c r="F19" s="70">
        <v>63077</v>
      </c>
      <c r="G19" s="70">
        <v>64971</v>
      </c>
      <c r="H19" s="70">
        <v>66408</v>
      </c>
      <c r="I19" s="71">
        <v>69664</v>
      </c>
      <c r="J19" s="71">
        <v>62368</v>
      </c>
      <c r="K19" s="71">
        <f t="shared" si="4"/>
        <v>3256</v>
      </c>
      <c r="L19" s="71">
        <f t="shared" si="5"/>
        <v>-4040</v>
      </c>
      <c r="M19" s="70">
        <v>72505</v>
      </c>
      <c r="N19" s="71">
        <v>80350</v>
      </c>
      <c r="O19" s="71">
        <v>63404</v>
      </c>
      <c r="P19" s="71">
        <f t="shared" si="6"/>
        <v>7845</v>
      </c>
      <c r="Q19" s="71">
        <f t="shared" si="0"/>
        <v>-9101</v>
      </c>
      <c r="R19" s="74">
        <v>78933</v>
      </c>
      <c r="S19" s="71">
        <v>92220</v>
      </c>
      <c r="T19" s="71">
        <v>63255</v>
      </c>
      <c r="U19" s="71">
        <f t="shared" si="7"/>
        <v>13287</v>
      </c>
      <c r="V19" s="71">
        <f t="shared" si="8"/>
        <v>-15678</v>
      </c>
      <c r="W19" s="74">
        <v>84983</v>
      </c>
      <c r="X19" s="71">
        <v>105075</v>
      </c>
      <c r="Y19" s="71">
        <v>62122</v>
      </c>
      <c r="Z19" s="71">
        <f t="shared" si="9"/>
        <v>20092</v>
      </c>
      <c r="AA19" s="71">
        <f t="shared" si="1"/>
        <v>-22861</v>
      </c>
      <c r="AB19" s="74">
        <v>90844</v>
      </c>
      <c r="AC19" s="71">
        <v>118792</v>
      </c>
      <c r="AD19" s="71">
        <v>60127</v>
      </c>
      <c r="AE19" s="71">
        <f t="shared" si="10"/>
        <v>27948</v>
      </c>
      <c r="AF19" s="71">
        <f t="shared" si="2"/>
        <v>-30717</v>
      </c>
      <c r="AG19" s="74">
        <v>96705</v>
      </c>
      <c r="AH19" s="71">
        <v>133284</v>
      </c>
      <c r="AI19" s="71">
        <v>57356</v>
      </c>
      <c r="AJ19" s="71">
        <f t="shared" si="11"/>
        <v>36579</v>
      </c>
      <c r="AK19" s="71">
        <f t="shared" si="3"/>
        <v>-39349</v>
      </c>
      <c r="AM19" s="79">
        <f t="shared" si="15"/>
        <v>35435</v>
      </c>
      <c r="AN19" s="80">
        <f t="shared" si="16"/>
        <v>1.1997223726977249</v>
      </c>
      <c r="AO19" s="81">
        <f t="shared" si="17"/>
        <v>1.9413629774857943E-2</v>
      </c>
      <c r="AQ19" s="79">
        <f t="shared" si="12"/>
        <v>31734</v>
      </c>
      <c r="AR19" s="80">
        <f t="shared" si="13"/>
        <v>0.4884333010112204</v>
      </c>
      <c r="AS19" s="81">
        <f t="shared" si="14"/>
        <v>1.38091006895813E-2</v>
      </c>
    </row>
    <row r="20" spans="1:45" s="72" customFormat="1" x14ac:dyDescent="0.3">
      <c r="A20" s="69" t="s">
        <v>86</v>
      </c>
      <c r="B20" s="70">
        <f t="shared" ref="B20:J20" si="18">SUM(B5:B19)</f>
        <v>1571547</v>
      </c>
      <c r="C20" s="70">
        <f t="shared" si="18"/>
        <v>1719508</v>
      </c>
      <c r="D20" s="70">
        <f t="shared" si="18"/>
        <v>1950805</v>
      </c>
      <c r="E20" s="70">
        <f t="shared" si="18"/>
        <v>2186769</v>
      </c>
      <c r="F20" s="70">
        <f t="shared" si="18"/>
        <v>2421159</v>
      </c>
      <c r="G20" s="70">
        <f t="shared" si="18"/>
        <v>2431037</v>
      </c>
      <c r="H20" s="70">
        <f t="shared" si="18"/>
        <v>2555315</v>
      </c>
      <c r="I20" s="71">
        <f t="shared" si="18"/>
        <v>2597188</v>
      </c>
      <c r="J20" s="71">
        <f t="shared" si="18"/>
        <v>2445231</v>
      </c>
      <c r="K20" s="71">
        <f t="shared" si="4"/>
        <v>41873</v>
      </c>
      <c r="L20" s="71">
        <f t="shared" si="5"/>
        <v>-110084</v>
      </c>
      <c r="M20" s="70">
        <f>SUM(M5:M19)</f>
        <v>2676926</v>
      </c>
      <c r="N20" s="71">
        <f>SUM(N5:N19)</f>
        <v>2816613</v>
      </c>
      <c r="O20" s="71">
        <f>SUM(O5:O19)</f>
        <v>2428110</v>
      </c>
      <c r="P20" s="71">
        <f t="shared" ref="P20" si="19">N20-$M20</f>
        <v>139687</v>
      </c>
      <c r="Q20" s="71">
        <f t="shared" ref="Q20" si="20">O20-$M20</f>
        <v>-248816</v>
      </c>
      <c r="R20" s="70">
        <f>SUM(R5:R19)</f>
        <v>2827180</v>
      </c>
      <c r="S20" s="71">
        <f>SUM(S5:S19)</f>
        <v>3068141</v>
      </c>
      <c r="T20" s="71">
        <f>SUM(T5:T19)</f>
        <v>2378893</v>
      </c>
      <c r="U20" s="71">
        <f t="shared" ref="U20" si="21">S20-$R20</f>
        <v>240961</v>
      </c>
      <c r="V20" s="71">
        <f t="shared" ref="V20" si="22">T20-$R20</f>
        <v>-448287</v>
      </c>
      <c r="W20" s="70">
        <f>SUM(W5:W19)</f>
        <v>2944699</v>
      </c>
      <c r="X20" s="71">
        <f>SUM(X5:X19)</f>
        <v>3345949</v>
      </c>
      <c r="Y20" s="71">
        <f>SUM(Y5:Y19)</f>
        <v>2303397</v>
      </c>
      <c r="Z20" s="71">
        <f t="shared" ref="Z20" si="23">X20-$W20</f>
        <v>401250</v>
      </c>
      <c r="AA20" s="71">
        <f t="shared" ref="AA20" si="24">Y20-$W20</f>
        <v>-641302</v>
      </c>
      <c r="AB20" s="70">
        <f>SUM(AB5:AB19)</f>
        <v>3045854</v>
      </c>
      <c r="AC20" s="71">
        <f>SUM(AC5:AC19)</f>
        <v>3646586</v>
      </c>
      <c r="AD20" s="71">
        <f>SUM(AD5:AD19)</f>
        <v>2205068</v>
      </c>
      <c r="AE20" s="71">
        <f t="shared" ref="AE20" si="25">AC20-$AB20</f>
        <v>600732</v>
      </c>
      <c r="AF20" s="71">
        <f t="shared" ref="AF20" si="26">AD20-$AB20</f>
        <v>-840786</v>
      </c>
      <c r="AG20" s="70">
        <f>SUM(AG5:AG19)</f>
        <v>3147011</v>
      </c>
      <c r="AH20" s="71">
        <f>SUM(AH5:AH19)</f>
        <v>3967683</v>
      </c>
      <c r="AI20" s="71">
        <f>SUM(AI5:AI19)</f>
        <v>2086279</v>
      </c>
      <c r="AJ20" s="71">
        <f t="shared" ref="AJ20" si="27">AH20-$AG20</f>
        <v>820672</v>
      </c>
      <c r="AK20" s="71">
        <f t="shared" ref="AK20" si="28">AI20-$AG20</f>
        <v>-1060732</v>
      </c>
      <c r="AM20" s="79">
        <f t="shared" si="15"/>
        <v>859490</v>
      </c>
      <c r="AN20" s="80">
        <f t="shared" si="16"/>
        <v>0.5469069649205528</v>
      </c>
      <c r="AO20" s="81">
        <f t="shared" si="17"/>
        <v>1.0697235781552017E-2</v>
      </c>
      <c r="AQ20" s="79">
        <f t="shared" si="12"/>
        <v>715974</v>
      </c>
      <c r="AR20" s="80">
        <f t="shared" si="13"/>
        <v>0.29451382270199916</v>
      </c>
      <c r="AS20" s="81">
        <f t="shared" si="14"/>
        <v>8.94094733810058E-3</v>
      </c>
    </row>
    <row r="21" spans="1:45" x14ac:dyDescent="0.3">
      <c r="A21" s="68"/>
      <c r="C21" s="2"/>
      <c r="D21" s="2"/>
      <c r="E21" s="2"/>
      <c r="G21" s="2"/>
      <c r="O21" s="2"/>
      <c r="S21" s="2"/>
      <c r="W21" s="2"/>
    </row>
    <row r="22" spans="1:45" x14ac:dyDescent="0.3">
      <c r="A22" s="21">
        <v>1</v>
      </c>
      <c r="B22" s="21" t="s">
        <v>128</v>
      </c>
    </row>
    <row r="23" spans="1:45" x14ac:dyDescent="0.3">
      <c r="A23" s="21">
        <v>2</v>
      </c>
      <c r="B23" s="21" t="s">
        <v>129</v>
      </c>
    </row>
    <row r="24" spans="1:45" x14ac:dyDescent="0.3">
      <c r="A24" s="21">
        <v>3</v>
      </c>
      <c r="B24" s="21" t="s">
        <v>130</v>
      </c>
    </row>
    <row r="25" spans="1:45" x14ac:dyDescent="0.3">
      <c r="A25" s="21">
        <v>4</v>
      </c>
      <c r="B25" s="21" t="s">
        <v>109</v>
      </c>
    </row>
    <row r="26" spans="1:45" x14ac:dyDescent="0.3">
      <c r="A26" s="21">
        <v>5</v>
      </c>
      <c r="B26" s="21" t="s">
        <v>113</v>
      </c>
    </row>
    <row r="28" spans="1:45" x14ac:dyDescent="0.3">
      <c r="B28" s="50" t="s">
        <v>112</v>
      </c>
    </row>
  </sheetData>
  <mergeCells count="12">
    <mergeCell ref="AM2:AO2"/>
    <mergeCell ref="AM3:AO3"/>
    <mergeCell ref="AQ2:AS2"/>
    <mergeCell ref="AQ3:AS3"/>
    <mergeCell ref="AB3:AF3"/>
    <mergeCell ref="AG3:AK3"/>
    <mergeCell ref="D1:W1"/>
    <mergeCell ref="H3:L3"/>
    <mergeCell ref="M3:Q3"/>
    <mergeCell ref="R3:V3"/>
    <mergeCell ref="W3:AA3"/>
    <mergeCell ref="A2:W2"/>
  </mergeCells>
  <pageMargins left="0.7" right="0.7" top="0.75" bottom="0.75" header="0.3" footer="0.3"/>
  <pageSetup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E9F3A-12AA-4E83-883A-75C16A7426E9}">
  <dimension ref="A1"/>
  <sheetViews>
    <sheetView workbookViewId="0">
      <selection activeCell="O17" sqref="O17"/>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6FC1B-6575-46E1-9539-0F70D054B1E5}">
  <dimension ref="A1:R63"/>
  <sheetViews>
    <sheetView tabSelected="1" topLeftCell="A36" workbookViewId="0">
      <selection activeCell="G12" sqref="G12"/>
    </sheetView>
  </sheetViews>
  <sheetFormatPr defaultRowHeight="14.4" x14ac:dyDescent="0.3"/>
  <cols>
    <col min="1" max="1" width="20.109375" customWidth="1"/>
    <col min="2" max="2" width="10.6640625" customWidth="1"/>
    <col min="3" max="3" width="11.33203125" bestFit="1" customWidth="1"/>
    <col min="4" max="4" width="11.109375" customWidth="1"/>
    <col min="5" max="5" width="11.33203125" bestFit="1" customWidth="1"/>
    <col min="6" max="6" width="10.6640625" customWidth="1"/>
    <col min="7" max="7" width="11.33203125" customWidth="1"/>
    <col min="8" max="8" width="10.33203125" customWidth="1"/>
    <col min="9" max="9" width="11.33203125" customWidth="1"/>
    <col min="10" max="10" width="2.33203125" customWidth="1"/>
    <col min="11" max="11" width="11.33203125" bestFit="1" customWidth="1"/>
    <col min="12" max="12" width="10.44140625" customWidth="1"/>
    <col min="13" max="13" width="11.33203125" bestFit="1" customWidth="1"/>
    <col min="14" max="14" width="10.88671875" customWidth="1"/>
    <col min="15" max="15" width="11.33203125" bestFit="1" customWidth="1"/>
    <col min="16" max="16" width="10.88671875" customWidth="1"/>
    <col min="17" max="17" width="11.33203125" bestFit="1" customWidth="1"/>
  </cols>
  <sheetData>
    <row r="1" spans="1:18" ht="65.25" customHeight="1" x14ac:dyDescent="0.4">
      <c r="C1" s="88" t="s">
        <v>59</v>
      </c>
      <c r="D1" s="88"/>
      <c r="E1" s="88"/>
      <c r="F1" s="88"/>
      <c r="G1" s="88"/>
      <c r="H1" s="88"/>
      <c r="I1" s="88"/>
      <c r="J1" s="88"/>
      <c r="K1" s="88"/>
      <c r="L1" s="88"/>
      <c r="M1" s="88"/>
      <c r="N1" s="88"/>
      <c r="O1" s="88"/>
      <c r="P1" s="88"/>
      <c r="Q1" s="88"/>
      <c r="R1" s="88"/>
    </row>
    <row r="2" spans="1:18" s="9" customFormat="1" ht="26.25" customHeight="1" x14ac:dyDescent="0.3">
      <c r="A2" s="90" t="s">
        <v>42</v>
      </c>
      <c r="B2" s="90"/>
      <c r="C2" s="90"/>
      <c r="D2" s="90"/>
      <c r="E2" s="90"/>
      <c r="F2" s="90"/>
      <c r="G2" s="90"/>
      <c r="H2" s="90"/>
      <c r="I2" s="90"/>
      <c r="J2" s="90"/>
      <c r="K2" s="90"/>
      <c r="L2" s="90"/>
      <c r="M2" s="90"/>
      <c r="N2" s="90"/>
      <c r="O2" s="90"/>
      <c r="P2" s="90"/>
      <c r="Q2" s="90"/>
      <c r="R2" s="90"/>
    </row>
    <row r="3" spans="1:18" s="9" customFormat="1" ht="15.75" customHeight="1" x14ac:dyDescent="0.3">
      <c r="A3" s="10"/>
      <c r="B3" s="18" t="s">
        <v>60</v>
      </c>
      <c r="C3" s="93" t="s">
        <v>61</v>
      </c>
      <c r="D3" s="93"/>
      <c r="E3" s="93"/>
      <c r="F3" s="93"/>
      <c r="G3" s="93"/>
      <c r="H3" s="93"/>
      <c r="I3" s="51"/>
      <c r="J3" s="10"/>
      <c r="K3" s="93" t="s">
        <v>62</v>
      </c>
      <c r="L3" s="93"/>
      <c r="M3" s="93"/>
      <c r="N3" s="93"/>
      <c r="O3" s="93"/>
      <c r="P3" s="93"/>
      <c r="Q3" s="93"/>
      <c r="R3" s="51"/>
    </row>
    <row r="4" spans="1:18" x14ac:dyDescent="0.3">
      <c r="A4" s="48" t="s">
        <v>0</v>
      </c>
      <c r="B4" s="4">
        <v>2020</v>
      </c>
      <c r="C4" s="4">
        <v>2025</v>
      </c>
      <c r="D4" s="4">
        <v>2030</v>
      </c>
      <c r="E4" s="4">
        <v>2035</v>
      </c>
      <c r="F4" s="4">
        <v>2040</v>
      </c>
      <c r="G4" s="4">
        <v>2045</v>
      </c>
      <c r="H4" s="4">
        <v>2050</v>
      </c>
      <c r="K4" s="4">
        <v>2020</v>
      </c>
      <c r="L4" s="4">
        <v>2025</v>
      </c>
      <c r="M4" s="4">
        <v>2030</v>
      </c>
      <c r="N4" s="4">
        <v>2035</v>
      </c>
      <c r="O4" s="4">
        <v>2040</v>
      </c>
      <c r="P4" s="4">
        <v>2045</v>
      </c>
      <c r="Q4" s="4">
        <v>2050</v>
      </c>
    </row>
    <row r="5" spans="1:18" s="13" customFormat="1" x14ac:dyDescent="0.3">
      <c r="A5" s="28" t="s">
        <v>18</v>
      </c>
      <c r="B5" s="37">
        <v>53873</v>
      </c>
      <c r="C5" s="37">
        <v>57994</v>
      </c>
      <c r="D5" s="37">
        <v>62696</v>
      </c>
      <c r="E5" s="37">
        <v>68656</v>
      </c>
      <c r="F5" s="37">
        <v>74833</v>
      </c>
      <c r="G5" s="37">
        <v>80560</v>
      </c>
      <c r="H5" s="37">
        <v>85900</v>
      </c>
      <c r="J5" s="29"/>
      <c r="K5" s="30">
        <f t="shared" ref="K5:K20" si="0">B5/(B5+B25+B45)</f>
        <v>0.25049985585552076</v>
      </c>
      <c r="L5" s="30">
        <f t="shared" ref="L5:L20" si="1">C5/(C5+C25+C45)</f>
        <v>0.2347783139553713</v>
      </c>
      <c r="M5" s="30">
        <f t="shared" ref="M5:M20" si="2">D5/(D5+D25+D45)</f>
        <v>0.22594455896556198</v>
      </c>
      <c r="N5" s="30">
        <f t="shared" ref="N5:N20" si="3">E5/(E5+E25+E45)</f>
        <v>0.22085613276588079</v>
      </c>
      <c r="O5" s="30">
        <f t="shared" ref="O5:O20" si="4">F5/(F5+F25+F45)</f>
        <v>0.21950504081638639</v>
      </c>
      <c r="P5" s="30">
        <f t="shared" ref="P5:P20" si="5">G5/(G5+G25+G45)</f>
        <v>0.21813829686412659</v>
      </c>
      <c r="Q5" s="30">
        <f t="shared" ref="Q5:Q20" si="6">H5/(H5+H25+H45)</f>
        <v>0.21599358305443592</v>
      </c>
    </row>
    <row r="6" spans="1:18" s="13" customFormat="1" x14ac:dyDescent="0.3">
      <c r="A6" s="28" t="s">
        <v>19</v>
      </c>
      <c r="B6" s="37">
        <v>37515</v>
      </c>
      <c r="C6" s="37">
        <v>39948</v>
      </c>
      <c r="D6" s="37">
        <v>42517</v>
      </c>
      <c r="E6" s="37">
        <v>45382</v>
      </c>
      <c r="F6" s="37">
        <v>47721</v>
      </c>
      <c r="G6" s="37">
        <v>49781</v>
      </c>
      <c r="H6" s="37">
        <v>51782</v>
      </c>
      <c r="J6" s="29"/>
      <c r="K6" s="30">
        <f t="shared" si="0"/>
        <v>0.23541482332122216</v>
      </c>
      <c r="L6" s="30">
        <f t="shared" si="1"/>
        <v>0.23612301472370156</v>
      </c>
      <c r="M6" s="30">
        <f t="shared" si="2"/>
        <v>0.23825855006192245</v>
      </c>
      <c r="N6" s="30">
        <f t="shared" si="3"/>
        <v>0.24034530240440632</v>
      </c>
      <c r="O6" s="30">
        <f t="shared" si="4"/>
        <v>0.24110282526979507</v>
      </c>
      <c r="P6" s="30">
        <f t="shared" si="5"/>
        <v>0.2411823414274917</v>
      </c>
      <c r="Q6" s="30">
        <f t="shared" si="6"/>
        <v>0.24098101265822786</v>
      </c>
    </row>
    <row r="7" spans="1:18" x14ac:dyDescent="0.3">
      <c r="A7" s="28" t="s">
        <v>44</v>
      </c>
      <c r="B7" s="37">
        <v>6614</v>
      </c>
      <c r="C7" s="37">
        <v>6617</v>
      </c>
      <c r="D7" s="37">
        <v>6510</v>
      </c>
      <c r="E7" s="37">
        <v>6617</v>
      </c>
      <c r="F7" s="37">
        <v>6856</v>
      </c>
      <c r="G7" s="37">
        <v>7091</v>
      </c>
      <c r="H7" s="37">
        <v>7290</v>
      </c>
      <c r="J7" s="29"/>
      <c r="K7" s="30">
        <f t="shared" si="0"/>
        <v>0.22854970800649643</v>
      </c>
      <c r="L7" s="30">
        <f t="shared" si="1"/>
        <v>0.22492266902342023</v>
      </c>
      <c r="M7" s="30">
        <f t="shared" si="2"/>
        <v>0.21692046249708441</v>
      </c>
      <c r="N7" s="30">
        <f t="shared" si="3"/>
        <v>0.21600182803421036</v>
      </c>
      <c r="O7" s="30">
        <f t="shared" si="4"/>
        <v>0.21960281870595771</v>
      </c>
      <c r="P7" s="30">
        <f t="shared" si="5"/>
        <v>0.22305756527209814</v>
      </c>
      <c r="Q7" s="30">
        <f t="shared" si="6"/>
        <v>0.22527812113720644</v>
      </c>
    </row>
    <row r="8" spans="1:18" s="13" customFormat="1" x14ac:dyDescent="0.3">
      <c r="A8" s="28" t="s">
        <v>20</v>
      </c>
      <c r="B8" s="37">
        <v>309822</v>
      </c>
      <c r="C8" s="37">
        <v>324853</v>
      </c>
      <c r="D8" s="37">
        <v>336050</v>
      </c>
      <c r="E8" s="37">
        <v>348291</v>
      </c>
      <c r="F8" s="37">
        <v>359622</v>
      </c>
      <c r="G8" s="37">
        <v>366527</v>
      </c>
      <c r="H8" s="37">
        <v>375575</v>
      </c>
      <c r="J8" s="29"/>
      <c r="K8" s="30">
        <f t="shared" si="0"/>
        <v>0.23400223411703661</v>
      </c>
      <c r="L8" s="30">
        <f t="shared" si="1"/>
        <v>0.23368584309203402</v>
      </c>
      <c r="M8" s="30">
        <f t="shared" si="2"/>
        <v>0.23222467158227891</v>
      </c>
      <c r="N8" s="30">
        <f t="shared" si="3"/>
        <v>0.2291623350817584</v>
      </c>
      <c r="O8" s="30">
        <f t="shared" si="4"/>
        <v>0.22839653971195598</v>
      </c>
      <c r="P8" s="30">
        <f t="shared" si="5"/>
        <v>0.22621883779606872</v>
      </c>
      <c r="Q8" s="30">
        <f t="shared" si="6"/>
        <v>0.22544681178019993</v>
      </c>
    </row>
    <row r="9" spans="1:18" x14ac:dyDescent="0.3">
      <c r="A9" s="28" t="s">
        <v>45</v>
      </c>
      <c r="B9" s="37">
        <v>5996</v>
      </c>
      <c r="C9" s="37">
        <v>5896</v>
      </c>
      <c r="D9" s="37">
        <v>5871</v>
      </c>
      <c r="E9" s="37">
        <v>5798</v>
      </c>
      <c r="F9" s="37">
        <v>5758</v>
      </c>
      <c r="G9" s="37">
        <v>5674</v>
      </c>
      <c r="H9" s="37">
        <v>5611</v>
      </c>
      <c r="J9" s="29"/>
      <c r="K9" s="30">
        <f t="shared" si="0"/>
        <v>0.21415050537519198</v>
      </c>
      <c r="L9" s="30">
        <f t="shared" si="1"/>
        <v>0.21083497228678705</v>
      </c>
      <c r="M9" s="30">
        <f t="shared" si="2"/>
        <v>0.21147611843527123</v>
      </c>
      <c r="N9" s="30">
        <f t="shared" si="3"/>
        <v>0.20985196713598031</v>
      </c>
      <c r="O9" s="30">
        <f t="shared" si="4"/>
        <v>0.2099314569053522</v>
      </c>
      <c r="P9" s="30">
        <f t="shared" si="5"/>
        <v>0.20867966164030893</v>
      </c>
      <c r="Q9" s="30">
        <f t="shared" si="6"/>
        <v>0.20817719734352391</v>
      </c>
    </row>
    <row r="10" spans="1:18" x14ac:dyDescent="0.3">
      <c r="A10" s="28" t="s">
        <v>46</v>
      </c>
      <c r="B10" s="37">
        <v>14942</v>
      </c>
      <c r="C10" s="37">
        <v>15282</v>
      </c>
      <c r="D10" s="37">
        <v>15553</v>
      </c>
      <c r="E10" s="37">
        <v>16138</v>
      </c>
      <c r="F10" s="37">
        <v>16567</v>
      </c>
      <c r="G10" s="37">
        <v>16856</v>
      </c>
      <c r="H10" s="37">
        <v>17132</v>
      </c>
      <c r="J10" s="29"/>
      <c r="K10" s="30">
        <f t="shared" si="0"/>
        <v>0.2380626145144587</v>
      </c>
      <c r="L10" s="30">
        <f t="shared" si="1"/>
        <v>0.23819692317284163</v>
      </c>
      <c r="M10" s="30">
        <f t="shared" si="2"/>
        <v>0.23803547651479209</v>
      </c>
      <c r="N10" s="30">
        <f t="shared" si="3"/>
        <v>0.24081894557772374</v>
      </c>
      <c r="O10" s="30">
        <f t="shared" si="4"/>
        <v>0.24318532110091742</v>
      </c>
      <c r="P10" s="30">
        <f t="shared" si="5"/>
        <v>0.24444218861029338</v>
      </c>
      <c r="Q10" s="30">
        <f t="shared" si="6"/>
        <v>0.24547929502794097</v>
      </c>
    </row>
    <row r="11" spans="1:18" s="13" customFormat="1" x14ac:dyDescent="0.3">
      <c r="A11" s="28" t="s">
        <v>21</v>
      </c>
      <c r="B11" s="37">
        <v>41136</v>
      </c>
      <c r="C11" s="37">
        <v>43793</v>
      </c>
      <c r="D11" s="37">
        <v>45865</v>
      </c>
      <c r="E11" s="37">
        <v>49473</v>
      </c>
      <c r="F11" s="37">
        <v>51486</v>
      </c>
      <c r="G11" s="37">
        <v>52211</v>
      </c>
      <c r="H11" s="37">
        <v>52940</v>
      </c>
      <c r="J11" s="29"/>
      <c r="K11" s="30">
        <f t="shared" si="0"/>
        <v>0.23022162525184689</v>
      </c>
      <c r="L11" s="30">
        <f t="shared" si="1"/>
        <v>0.22938480475604325</v>
      </c>
      <c r="M11" s="30">
        <f t="shared" si="2"/>
        <v>0.22851377609486323</v>
      </c>
      <c r="N11" s="30">
        <f t="shared" si="3"/>
        <v>0.22802610595403802</v>
      </c>
      <c r="O11" s="30">
        <f t="shared" si="4"/>
        <v>0.22798262432859678</v>
      </c>
      <c r="P11" s="30">
        <f t="shared" si="5"/>
        <v>0.22600501261811901</v>
      </c>
      <c r="Q11" s="30">
        <f t="shared" si="6"/>
        <v>0.22413019364780992</v>
      </c>
    </row>
    <row r="12" spans="1:18" x14ac:dyDescent="0.3">
      <c r="A12" s="28" t="s">
        <v>47</v>
      </c>
      <c r="B12" s="37">
        <v>10341</v>
      </c>
      <c r="C12" s="37">
        <v>10139</v>
      </c>
      <c r="D12" s="37">
        <v>10008</v>
      </c>
      <c r="E12" s="37">
        <v>10026</v>
      </c>
      <c r="F12" s="37">
        <v>10017</v>
      </c>
      <c r="G12" s="37">
        <v>9940</v>
      </c>
      <c r="H12" s="37">
        <v>9832</v>
      </c>
      <c r="J12" s="29"/>
      <c r="K12" s="30">
        <f t="shared" si="0"/>
        <v>0.22448713774014978</v>
      </c>
      <c r="L12" s="30">
        <f t="shared" si="1"/>
        <v>0.21995878077882633</v>
      </c>
      <c r="M12" s="30">
        <f t="shared" si="2"/>
        <v>0.21565712069299889</v>
      </c>
      <c r="N12" s="30">
        <f t="shared" si="3"/>
        <v>0.2144002737206766</v>
      </c>
      <c r="O12" s="30">
        <f t="shared" si="4"/>
        <v>0.2128649751370649</v>
      </c>
      <c r="P12" s="30">
        <f t="shared" si="5"/>
        <v>0.20999260589415866</v>
      </c>
      <c r="Q12" s="30">
        <f t="shared" si="6"/>
        <v>0.20650689966604358</v>
      </c>
    </row>
    <row r="13" spans="1:18" s="13" customFormat="1" x14ac:dyDescent="0.3">
      <c r="A13" s="28" t="s">
        <v>22</v>
      </c>
      <c r="B13" s="37">
        <v>8858</v>
      </c>
      <c r="C13" s="37">
        <v>8999</v>
      </c>
      <c r="D13" s="37">
        <v>9104</v>
      </c>
      <c r="E13" s="37">
        <v>9399</v>
      </c>
      <c r="F13" s="37">
        <v>9511</v>
      </c>
      <c r="G13" s="37">
        <v>9886</v>
      </c>
      <c r="H13" s="37">
        <v>10300</v>
      </c>
      <c r="J13" s="29"/>
      <c r="K13" s="30">
        <f t="shared" si="0"/>
        <v>0.20213130091504461</v>
      </c>
      <c r="L13" s="30">
        <f t="shared" si="1"/>
        <v>0.19358100114010368</v>
      </c>
      <c r="M13" s="30">
        <f t="shared" si="2"/>
        <v>0.18643130669833924</v>
      </c>
      <c r="N13" s="30">
        <f t="shared" si="3"/>
        <v>0.18281724111102465</v>
      </c>
      <c r="O13" s="30">
        <f t="shared" si="4"/>
        <v>0.17702788221717605</v>
      </c>
      <c r="P13" s="30">
        <f t="shared" si="5"/>
        <v>0.17683570342545391</v>
      </c>
      <c r="Q13" s="30">
        <f t="shared" si="6"/>
        <v>0.17732938502857931</v>
      </c>
    </row>
    <row r="14" spans="1:18" x14ac:dyDescent="0.3">
      <c r="A14" s="28" t="s">
        <v>48</v>
      </c>
      <c r="B14" s="37">
        <v>13771</v>
      </c>
      <c r="C14" s="37">
        <v>13780</v>
      </c>
      <c r="D14" s="37">
        <v>13631</v>
      </c>
      <c r="E14" s="37">
        <v>13169</v>
      </c>
      <c r="F14" s="37">
        <v>12846</v>
      </c>
      <c r="G14" s="37">
        <v>12951</v>
      </c>
      <c r="H14" s="37">
        <v>13179</v>
      </c>
      <c r="J14" s="29"/>
      <c r="K14" s="30">
        <f t="shared" si="0"/>
        <v>0.210684944081514</v>
      </c>
      <c r="L14" s="30">
        <f t="shared" si="1"/>
        <v>0.2109808004409468</v>
      </c>
      <c r="M14" s="30">
        <f t="shared" si="2"/>
        <v>0.2091927562922038</v>
      </c>
      <c r="N14" s="30">
        <f t="shared" si="3"/>
        <v>0.20183612788523433</v>
      </c>
      <c r="O14" s="30">
        <f t="shared" si="4"/>
        <v>0.19745154398315376</v>
      </c>
      <c r="P14" s="30">
        <f t="shared" si="5"/>
        <v>0.20007106222579249</v>
      </c>
      <c r="Q14" s="30">
        <f t="shared" si="6"/>
        <v>0.20462696995574878</v>
      </c>
    </row>
    <row r="15" spans="1:18" x14ac:dyDescent="0.3">
      <c r="A15" s="28" t="s">
        <v>49</v>
      </c>
      <c r="B15" s="37">
        <v>7666</v>
      </c>
      <c r="C15" s="37">
        <v>7443</v>
      </c>
      <c r="D15" s="37">
        <v>7509</v>
      </c>
      <c r="E15" s="37">
        <v>7845</v>
      </c>
      <c r="F15" s="37">
        <v>7991</v>
      </c>
      <c r="G15" s="37">
        <v>8011</v>
      </c>
      <c r="H15" s="37">
        <v>7952</v>
      </c>
      <c r="J15" s="29"/>
      <c r="K15" s="30">
        <f t="shared" si="0"/>
        <v>0.21925408992106166</v>
      </c>
      <c r="L15" s="30">
        <f t="shared" si="1"/>
        <v>0.20433768016472204</v>
      </c>
      <c r="M15" s="30">
        <f t="shared" si="2"/>
        <v>0.19935751075240271</v>
      </c>
      <c r="N15" s="30">
        <f t="shared" si="3"/>
        <v>0.19942549189079262</v>
      </c>
      <c r="O15" s="30">
        <f t="shared" si="4"/>
        <v>0.19721612083220216</v>
      </c>
      <c r="P15" s="30">
        <f t="shared" si="5"/>
        <v>0.1932503497853042</v>
      </c>
      <c r="Q15" s="30">
        <f t="shared" si="6"/>
        <v>0.18759583854301823</v>
      </c>
    </row>
    <row r="16" spans="1:18" x14ac:dyDescent="0.3">
      <c r="A16" s="28" t="s">
        <v>50</v>
      </c>
      <c r="B16" s="37">
        <v>8095</v>
      </c>
      <c r="C16" s="37">
        <v>8339</v>
      </c>
      <c r="D16" s="37">
        <v>8346</v>
      </c>
      <c r="E16" s="37">
        <v>8415</v>
      </c>
      <c r="F16" s="37">
        <v>8520</v>
      </c>
      <c r="G16" s="37">
        <v>8595</v>
      </c>
      <c r="H16" s="37">
        <v>8700</v>
      </c>
      <c r="J16" s="29"/>
      <c r="K16" s="30">
        <f t="shared" si="0"/>
        <v>0.22842066649736167</v>
      </c>
      <c r="L16" s="30">
        <f t="shared" si="1"/>
        <v>0.22624053826745164</v>
      </c>
      <c r="M16" s="30">
        <f t="shared" si="2"/>
        <v>0.22306561539489508</v>
      </c>
      <c r="N16" s="30">
        <f t="shared" si="3"/>
        <v>0.22068658047258136</v>
      </c>
      <c r="O16" s="30">
        <f t="shared" si="4"/>
        <v>0.22037142413739588</v>
      </c>
      <c r="P16" s="30">
        <f t="shared" si="5"/>
        <v>0.21980972840263927</v>
      </c>
      <c r="Q16" s="30">
        <f t="shared" si="6"/>
        <v>0.22001922006979921</v>
      </c>
    </row>
    <row r="17" spans="1:18" s="13" customFormat="1" x14ac:dyDescent="0.3">
      <c r="A17" s="28" t="s">
        <v>23</v>
      </c>
      <c r="B17" s="37">
        <v>12500</v>
      </c>
      <c r="C17" s="37">
        <v>12793</v>
      </c>
      <c r="D17" s="37">
        <v>13147</v>
      </c>
      <c r="E17" s="37">
        <v>13574</v>
      </c>
      <c r="F17" s="37">
        <v>13898</v>
      </c>
      <c r="G17" s="37">
        <v>14492</v>
      </c>
      <c r="H17" s="37">
        <v>15181</v>
      </c>
      <c r="J17" s="29"/>
      <c r="K17" s="30">
        <f t="shared" si="0"/>
        <v>0.21320870573787268</v>
      </c>
      <c r="L17" s="30">
        <f t="shared" si="1"/>
        <v>0.20516398043460829</v>
      </c>
      <c r="M17" s="30">
        <f t="shared" si="2"/>
        <v>0.19952649071952164</v>
      </c>
      <c r="N17" s="30">
        <f t="shared" si="3"/>
        <v>0.194704228584543</v>
      </c>
      <c r="O17" s="30">
        <f t="shared" si="4"/>
        <v>0.18983226793421842</v>
      </c>
      <c r="P17" s="30">
        <f t="shared" si="5"/>
        <v>0.1893265399438239</v>
      </c>
      <c r="Q17" s="30">
        <f t="shared" si="6"/>
        <v>0.19005470911526473</v>
      </c>
    </row>
    <row r="18" spans="1:18" x14ac:dyDescent="0.3">
      <c r="A18" s="28" t="s">
        <v>51</v>
      </c>
      <c r="B18" s="37">
        <v>16034</v>
      </c>
      <c r="C18" s="37">
        <v>15668</v>
      </c>
      <c r="D18" s="37">
        <v>15218</v>
      </c>
      <c r="E18" s="37">
        <v>15015</v>
      </c>
      <c r="F18" s="37">
        <v>14669</v>
      </c>
      <c r="G18" s="37">
        <v>14696</v>
      </c>
      <c r="H18" s="37">
        <v>14767</v>
      </c>
      <c r="J18" s="31"/>
      <c r="K18" s="30">
        <f t="shared" si="0"/>
        <v>0.20827433915697863</v>
      </c>
      <c r="L18" s="30">
        <f t="shared" si="1"/>
        <v>0.20456978717848284</v>
      </c>
      <c r="M18" s="30">
        <f t="shared" si="2"/>
        <v>0.19970080310744842</v>
      </c>
      <c r="N18" s="30">
        <f t="shared" si="3"/>
        <v>0.19788866044599082</v>
      </c>
      <c r="O18" s="30">
        <f t="shared" si="4"/>
        <v>0.19434802194016801</v>
      </c>
      <c r="P18" s="30">
        <f t="shared" si="5"/>
        <v>0.19584221748400854</v>
      </c>
      <c r="Q18" s="30">
        <f t="shared" si="6"/>
        <v>0.19794375485911905</v>
      </c>
    </row>
    <row r="19" spans="1:18" s="13" customFormat="1" x14ac:dyDescent="0.3">
      <c r="A19" s="28" t="s">
        <v>24</v>
      </c>
      <c r="B19" s="37">
        <v>15142</v>
      </c>
      <c r="C19" s="37">
        <v>16083</v>
      </c>
      <c r="D19" s="37">
        <v>17995</v>
      </c>
      <c r="E19" s="37">
        <v>19992</v>
      </c>
      <c r="F19" s="37">
        <v>21635</v>
      </c>
      <c r="G19" s="37">
        <v>22646</v>
      </c>
      <c r="H19" s="37">
        <v>23535</v>
      </c>
      <c r="J19" s="31"/>
      <c r="K19" s="30">
        <f t="shared" si="0"/>
        <v>0.24005580480999414</v>
      </c>
      <c r="L19" s="30">
        <f t="shared" si="1"/>
        <v>0.24218467654499459</v>
      </c>
      <c r="M19" s="30">
        <f t="shared" si="2"/>
        <v>0.24818978001517136</v>
      </c>
      <c r="N19" s="30">
        <f t="shared" si="3"/>
        <v>0.25327809661358369</v>
      </c>
      <c r="O19" s="30">
        <f t="shared" si="4"/>
        <v>0.25458032783027196</v>
      </c>
      <c r="P19" s="30">
        <f t="shared" si="5"/>
        <v>0.24928448769318831</v>
      </c>
      <c r="Q19" s="30">
        <f t="shared" si="6"/>
        <v>0.24336900884132154</v>
      </c>
    </row>
    <row r="20" spans="1:18" s="19" customFormat="1" x14ac:dyDescent="0.3">
      <c r="A20" s="32" t="s">
        <v>86</v>
      </c>
      <c r="B20" s="33">
        <f t="shared" ref="B20:H20" si="7">SUM(B5:B19)</f>
        <v>562305</v>
      </c>
      <c r="C20" s="33">
        <f t="shared" si="7"/>
        <v>587627</v>
      </c>
      <c r="D20" s="33">
        <f t="shared" si="7"/>
        <v>610020</v>
      </c>
      <c r="E20" s="33">
        <f t="shared" si="7"/>
        <v>637790</v>
      </c>
      <c r="F20" s="33">
        <f t="shared" si="7"/>
        <v>661930</v>
      </c>
      <c r="G20" s="33">
        <f t="shared" si="7"/>
        <v>679917</v>
      </c>
      <c r="H20" s="33">
        <f t="shared" si="7"/>
        <v>699676</v>
      </c>
      <c r="J20" s="58"/>
      <c r="K20" s="34">
        <f t="shared" si="0"/>
        <v>0.23224620935675847</v>
      </c>
      <c r="L20" s="34">
        <f t="shared" si="1"/>
        <v>0.22996264648389728</v>
      </c>
      <c r="M20" s="34">
        <f t="shared" si="2"/>
        <v>0.22788078564741798</v>
      </c>
      <c r="N20" s="34">
        <f t="shared" si="3"/>
        <v>0.22559228630649622</v>
      </c>
      <c r="O20" s="34">
        <f t="shared" si="4"/>
        <v>0.22478698162358871</v>
      </c>
      <c r="P20" s="34">
        <f t="shared" si="5"/>
        <v>0.22322704896557746</v>
      </c>
      <c r="Q20" s="34">
        <f t="shared" si="6"/>
        <v>0.2223303318609309</v>
      </c>
    </row>
    <row r="22" spans="1:18" s="9" customFormat="1" ht="26.25" customHeight="1" x14ac:dyDescent="0.3">
      <c r="A22" s="90" t="s">
        <v>43</v>
      </c>
      <c r="B22" s="90"/>
      <c r="C22" s="90"/>
      <c r="D22" s="90"/>
      <c r="E22" s="90"/>
      <c r="F22" s="90"/>
      <c r="G22" s="90"/>
      <c r="H22" s="90"/>
      <c r="I22" s="90"/>
      <c r="J22" s="90"/>
      <c r="K22" s="90"/>
      <c r="L22" s="90"/>
      <c r="M22" s="90"/>
      <c r="N22" s="90"/>
      <c r="O22" s="90"/>
      <c r="P22" s="90"/>
      <c r="Q22" s="90"/>
    </row>
    <row r="23" spans="1:18" s="9" customFormat="1" ht="15.75" customHeight="1" x14ac:dyDescent="0.3">
      <c r="A23" s="10"/>
      <c r="B23" s="18" t="s">
        <v>60</v>
      </c>
      <c r="C23" s="93" t="s">
        <v>61</v>
      </c>
      <c r="D23" s="93"/>
      <c r="E23" s="93"/>
      <c r="F23" s="93"/>
      <c r="G23" s="93"/>
      <c r="H23" s="93"/>
      <c r="I23" s="51"/>
      <c r="J23" s="10"/>
      <c r="K23" s="93" t="s">
        <v>62</v>
      </c>
      <c r="L23" s="93"/>
      <c r="M23" s="93"/>
      <c r="N23" s="93"/>
      <c r="O23" s="93"/>
      <c r="P23" s="93"/>
      <c r="Q23" s="93"/>
      <c r="R23" s="51"/>
    </row>
    <row r="24" spans="1:18" x14ac:dyDescent="0.3">
      <c r="A24" s="48" t="s">
        <v>0</v>
      </c>
      <c r="B24" s="4">
        <v>2020</v>
      </c>
      <c r="C24" s="4">
        <v>2025</v>
      </c>
      <c r="D24" s="4">
        <v>2030</v>
      </c>
      <c r="E24" s="4">
        <v>2035</v>
      </c>
      <c r="F24" s="4">
        <v>2040</v>
      </c>
      <c r="G24" s="4">
        <v>2045</v>
      </c>
      <c r="H24" s="4">
        <v>2050</v>
      </c>
      <c r="K24" s="4">
        <v>2020</v>
      </c>
      <c r="L24" s="4">
        <v>2025</v>
      </c>
      <c r="M24" s="4">
        <v>2030</v>
      </c>
      <c r="N24" s="4">
        <v>2035</v>
      </c>
      <c r="O24" s="4">
        <v>2040</v>
      </c>
      <c r="P24" s="4">
        <v>2045</v>
      </c>
      <c r="Q24" s="4">
        <v>2050</v>
      </c>
    </row>
    <row r="25" spans="1:18" s="13" customFormat="1" x14ac:dyDescent="0.3">
      <c r="A25" s="28" t="s">
        <v>18</v>
      </c>
      <c r="B25" s="64">
        <v>129537</v>
      </c>
      <c r="C25" s="64">
        <v>147623</v>
      </c>
      <c r="D25" s="64">
        <v>162958</v>
      </c>
      <c r="E25" s="64">
        <v>179944</v>
      </c>
      <c r="F25" s="64">
        <v>195085</v>
      </c>
      <c r="G25" s="64">
        <v>210691</v>
      </c>
      <c r="H25" s="64">
        <v>226432</v>
      </c>
      <c r="J25" s="29"/>
      <c r="K25" s="30">
        <f t="shared" ref="K25:K40" si="8">B25/(B5+B25+B45)</f>
        <v>0.60232398099152806</v>
      </c>
      <c r="L25" s="30">
        <f t="shared" ref="L25:L40" si="9">C25/(C5+C25+C45)</f>
        <v>0.59762525504420771</v>
      </c>
      <c r="M25" s="30">
        <f t="shared" ref="M25:M40" si="10">D25/(D5+D25+D45)</f>
        <v>0.58726989664268936</v>
      </c>
      <c r="N25" s="30">
        <f t="shared" ref="N25:N40" si="11">E25/(E5+E25+E45)</f>
        <v>0.57885306388988078</v>
      </c>
      <c r="O25" s="30">
        <f t="shared" ref="O25:O40" si="12">F25/(F5+F25+F45)</f>
        <v>0.57223605745680028</v>
      </c>
      <c r="P25" s="30">
        <f t="shared" ref="P25:P40" si="13">G25/(G5+G25+G45)</f>
        <v>0.57050367309582539</v>
      </c>
      <c r="Q25" s="30">
        <f t="shared" ref="Q25:Q40" si="14">H25/(H5+H25+H45)</f>
        <v>0.56935807914065228</v>
      </c>
    </row>
    <row r="26" spans="1:18" s="13" customFormat="1" x14ac:dyDescent="0.3">
      <c r="A26" s="28" t="s">
        <v>19</v>
      </c>
      <c r="B26" s="64">
        <v>95575</v>
      </c>
      <c r="C26" s="64">
        <v>99312</v>
      </c>
      <c r="D26" s="64">
        <v>102543</v>
      </c>
      <c r="E26" s="64">
        <v>108078</v>
      </c>
      <c r="F26" s="64">
        <v>114186</v>
      </c>
      <c r="G26" s="64">
        <v>120539</v>
      </c>
      <c r="H26" s="64">
        <v>126510</v>
      </c>
      <c r="J26" s="29"/>
      <c r="K26" s="30">
        <f t="shared" si="8"/>
        <v>0.5997540114334482</v>
      </c>
      <c r="L26" s="30">
        <f t="shared" si="9"/>
        <v>0.58700933308902192</v>
      </c>
      <c r="M26" s="30">
        <f t="shared" si="10"/>
        <v>0.57463476959803639</v>
      </c>
      <c r="N26" s="30">
        <f t="shared" si="11"/>
        <v>0.57238639974578964</v>
      </c>
      <c r="O26" s="30">
        <f t="shared" si="12"/>
        <v>0.576906753971141</v>
      </c>
      <c r="P26" s="30">
        <f t="shared" si="13"/>
        <v>0.58399546520416268</v>
      </c>
      <c r="Q26" s="30">
        <f t="shared" si="14"/>
        <v>0.58874720774385703</v>
      </c>
    </row>
    <row r="27" spans="1:18" x14ac:dyDescent="0.3">
      <c r="A27" s="28" t="s">
        <v>44</v>
      </c>
      <c r="B27" s="64">
        <v>16976</v>
      </c>
      <c r="C27" s="64">
        <v>16999</v>
      </c>
      <c r="D27" s="64">
        <v>17272</v>
      </c>
      <c r="E27" s="64">
        <v>17603</v>
      </c>
      <c r="F27" s="64">
        <v>17905</v>
      </c>
      <c r="G27" s="64">
        <v>18289</v>
      </c>
      <c r="H27" s="64">
        <v>18699</v>
      </c>
      <c r="J27" s="29"/>
      <c r="K27" s="30">
        <f t="shared" si="8"/>
        <v>0.58661322091295487</v>
      </c>
      <c r="L27" s="30">
        <f t="shared" si="9"/>
        <v>0.57782385533158842</v>
      </c>
      <c r="M27" s="30">
        <f t="shared" si="10"/>
        <v>0.57552230848688812</v>
      </c>
      <c r="N27" s="30">
        <f t="shared" si="11"/>
        <v>0.57462296794411438</v>
      </c>
      <c r="O27" s="30">
        <f t="shared" si="12"/>
        <v>0.57351057014734141</v>
      </c>
      <c r="P27" s="30">
        <f t="shared" si="13"/>
        <v>0.57530670022019503</v>
      </c>
      <c r="Q27" s="30">
        <f t="shared" si="14"/>
        <v>0.57784301606922128</v>
      </c>
    </row>
    <row r="28" spans="1:18" s="13" customFormat="1" x14ac:dyDescent="0.3">
      <c r="A28" s="28" t="s">
        <v>20</v>
      </c>
      <c r="B28" s="64">
        <v>846386</v>
      </c>
      <c r="C28" s="64">
        <v>871039</v>
      </c>
      <c r="D28" s="64">
        <v>897086</v>
      </c>
      <c r="E28" s="64">
        <v>945272</v>
      </c>
      <c r="F28" s="64">
        <v>985153</v>
      </c>
      <c r="G28" s="64">
        <v>1022277</v>
      </c>
      <c r="H28" s="64">
        <v>1051047</v>
      </c>
      <c r="J28" s="29"/>
      <c r="K28" s="30">
        <f t="shared" si="8"/>
        <v>0.63925807375003119</v>
      </c>
      <c r="L28" s="30">
        <f t="shared" si="9"/>
        <v>0.62658951304449162</v>
      </c>
      <c r="M28" s="30">
        <f t="shared" si="10"/>
        <v>0.61992412358595528</v>
      </c>
      <c r="N28" s="30">
        <f t="shared" si="11"/>
        <v>0.62195330573400953</v>
      </c>
      <c r="O28" s="30">
        <f t="shared" si="12"/>
        <v>0.62567233452584259</v>
      </c>
      <c r="P28" s="30">
        <f t="shared" si="13"/>
        <v>0.63094482765431126</v>
      </c>
      <c r="Q28" s="30">
        <f t="shared" si="14"/>
        <v>0.6309131203651569</v>
      </c>
    </row>
    <row r="29" spans="1:18" x14ac:dyDescent="0.3">
      <c r="A29" s="28" t="s">
        <v>45</v>
      </c>
      <c r="B29" s="64">
        <v>16420</v>
      </c>
      <c r="C29" s="64">
        <v>15903</v>
      </c>
      <c r="D29" s="64">
        <v>15291</v>
      </c>
      <c r="E29" s="64">
        <v>15073</v>
      </c>
      <c r="F29" s="64">
        <v>14936</v>
      </c>
      <c r="G29" s="64">
        <v>14975</v>
      </c>
      <c r="H29" s="64">
        <v>15040</v>
      </c>
      <c r="J29" s="29"/>
      <c r="K29" s="30">
        <f t="shared" si="8"/>
        <v>0.58644951605414475</v>
      </c>
      <c r="L29" s="30">
        <f t="shared" si="9"/>
        <v>0.56867512962631861</v>
      </c>
      <c r="M29" s="30">
        <f t="shared" si="10"/>
        <v>0.55078884806570128</v>
      </c>
      <c r="N29" s="30">
        <f t="shared" si="11"/>
        <v>0.54554996561583846</v>
      </c>
      <c r="O29" s="30">
        <f t="shared" si="12"/>
        <v>0.54455301152107338</v>
      </c>
      <c r="P29" s="30">
        <f t="shared" si="13"/>
        <v>0.55075395365943358</v>
      </c>
      <c r="Q29" s="30">
        <f t="shared" si="14"/>
        <v>0.55800838496642302</v>
      </c>
    </row>
    <row r="30" spans="1:18" x14ac:dyDescent="0.3">
      <c r="A30" s="28" t="s">
        <v>46</v>
      </c>
      <c r="B30" s="64">
        <v>35971</v>
      </c>
      <c r="C30" s="64">
        <v>35389</v>
      </c>
      <c r="D30" s="64">
        <v>35251</v>
      </c>
      <c r="E30" s="64">
        <v>35892</v>
      </c>
      <c r="F30" s="64">
        <v>36799</v>
      </c>
      <c r="G30" s="64">
        <v>37802</v>
      </c>
      <c r="H30" s="64">
        <v>38702</v>
      </c>
      <c r="J30" s="29"/>
      <c r="K30" s="30">
        <f t="shared" si="8"/>
        <v>0.57310603043097263</v>
      </c>
      <c r="L30" s="30">
        <f t="shared" si="9"/>
        <v>0.5515999812958835</v>
      </c>
      <c r="M30" s="30">
        <f t="shared" si="10"/>
        <v>0.53950932827254783</v>
      </c>
      <c r="N30" s="30">
        <f t="shared" si="11"/>
        <v>0.53559757062062585</v>
      </c>
      <c r="O30" s="30">
        <f t="shared" si="12"/>
        <v>0.5401688073394495</v>
      </c>
      <c r="P30" s="30">
        <f t="shared" si="13"/>
        <v>0.54819670229273321</v>
      </c>
      <c r="Q30" s="30">
        <f t="shared" si="14"/>
        <v>0.55454936237283281</v>
      </c>
    </row>
    <row r="31" spans="1:18" s="13" customFormat="1" x14ac:dyDescent="0.3">
      <c r="A31" s="28" t="s">
        <v>21</v>
      </c>
      <c r="B31" s="64">
        <v>106797</v>
      </c>
      <c r="C31" s="64">
        <v>111273</v>
      </c>
      <c r="D31" s="64">
        <v>114735</v>
      </c>
      <c r="E31" s="64">
        <v>123803</v>
      </c>
      <c r="F31" s="64">
        <v>130275</v>
      </c>
      <c r="G31" s="64">
        <v>135753</v>
      </c>
      <c r="H31" s="64">
        <v>140179</v>
      </c>
      <c r="J31" s="29"/>
      <c r="K31" s="30">
        <f t="shared" si="8"/>
        <v>0.59769979852249833</v>
      </c>
      <c r="L31" s="30">
        <f t="shared" si="9"/>
        <v>0.58284053112641754</v>
      </c>
      <c r="M31" s="30">
        <f t="shared" si="10"/>
        <v>0.57164565791440392</v>
      </c>
      <c r="N31" s="30">
        <f t="shared" si="11"/>
        <v>0.57062066168269099</v>
      </c>
      <c r="O31" s="30">
        <f t="shared" si="12"/>
        <v>0.57686432009493738</v>
      </c>
      <c r="P31" s="30">
        <f t="shared" si="13"/>
        <v>0.58763207902448733</v>
      </c>
      <c r="Q31" s="30">
        <f t="shared" si="14"/>
        <v>0.59347084275323658</v>
      </c>
    </row>
    <row r="32" spans="1:18" x14ac:dyDescent="0.3">
      <c r="A32" s="28" t="s">
        <v>47</v>
      </c>
      <c r="B32" s="64">
        <v>26898</v>
      </c>
      <c r="C32" s="64">
        <v>26159</v>
      </c>
      <c r="D32" s="64">
        <v>25765</v>
      </c>
      <c r="E32" s="64">
        <v>25825</v>
      </c>
      <c r="F32" s="64">
        <v>26082</v>
      </c>
      <c r="G32" s="64">
        <v>26530</v>
      </c>
      <c r="H32" s="64">
        <v>27062</v>
      </c>
      <c r="J32" s="29"/>
      <c r="K32" s="30">
        <f t="shared" si="8"/>
        <v>0.58391403451644419</v>
      </c>
      <c r="L32" s="30">
        <f t="shared" si="9"/>
        <v>0.56750189825360664</v>
      </c>
      <c r="M32" s="30">
        <f t="shared" si="10"/>
        <v>0.55519641433404443</v>
      </c>
      <c r="N32" s="30">
        <f t="shared" si="11"/>
        <v>0.5522528494750123</v>
      </c>
      <c r="O32" s="30">
        <f t="shared" si="12"/>
        <v>0.55425219941348969</v>
      </c>
      <c r="P32" s="30">
        <f t="shared" si="13"/>
        <v>0.56047322277384604</v>
      </c>
      <c r="Q32" s="30">
        <f t="shared" si="14"/>
        <v>0.56839805927201692</v>
      </c>
    </row>
    <row r="33" spans="1:18" s="13" customFormat="1" x14ac:dyDescent="0.3">
      <c r="A33" s="28" t="s">
        <v>22</v>
      </c>
      <c r="B33" s="64">
        <v>27804</v>
      </c>
      <c r="C33" s="64">
        <v>28927</v>
      </c>
      <c r="D33" s="64">
        <v>29783</v>
      </c>
      <c r="E33" s="64">
        <v>31056</v>
      </c>
      <c r="F33" s="64">
        <v>32561</v>
      </c>
      <c r="G33" s="64">
        <v>34078</v>
      </c>
      <c r="H33" s="64">
        <v>35517</v>
      </c>
      <c r="J33" s="29"/>
      <c r="K33" s="30">
        <f t="shared" si="8"/>
        <v>0.63446135590899755</v>
      </c>
      <c r="L33" s="30">
        <f t="shared" si="9"/>
        <v>0.62225998666293802</v>
      </c>
      <c r="M33" s="30">
        <f t="shared" si="10"/>
        <v>0.60989494808838285</v>
      </c>
      <c r="N33" s="30">
        <f t="shared" si="11"/>
        <v>0.6040613086438964</v>
      </c>
      <c r="O33" s="30">
        <f t="shared" si="12"/>
        <v>0.60605665785653129</v>
      </c>
      <c r="P33" s="30">
        <f t="shared" si="13"/>
        <v>0.60956980592075838</v>
      </c>
      <c r="Q33" s="30">
        <f t="shared" si="14"/>
        <v>0.61147648233592733</v>
      </c>
    </row>
    <row r="34" spans="1:18" x14ac:dyDescent="0.3">
      <c r="A34" s="28" t="s">
        <v>48</v>
      </c>
      <c r="B34" s="64">
        <v>39419</v>
      </c>
      <c r="C34" s="64">
        <v>38144</v>
      </c>
      <c r="D34" s="64">
        <v>37481</v>
      </c>
      <c r="E34" s="64">
        <v>38061</v>
      </c>
      <c r="F34" s="64">
        <v>38725</v>
      </c>
      <c r="G34" s="64">
        <v>39032</v>
      </c>
      <c r="H34" s="64">
        <v>39029</v>
      </c>
      <c r="J34" s="29"/>
      <c r="K34" s="30">
        <f t="shared" si="8"/>
        <v>0.6030781940853388</v>
      </c>
      <c r="L34" s="30">
        <f t="shared" si="9"/>
        <v>0.58400955384756714</v>
      </c>
      <c r="M34" s="30">
        <f t="shared" si="10"/>
        <v>0.57521485573971765</v>
      </c>
      <c r="N34" s="30">
        <f t="shared" si="11"/>
        <v>0.58334610550838362</v>
      </c>
      <c r="O34" s="30">
        <f t="shared" si="12"/>
        <v>0.59522894603360033</v>
      </c>
      <c r="P34" s="30">
        <f t="shared" si="13"/>
        <v>0.60297843415930297</v>
      </c>
      <c r="Q34" s="30">
        <f t="shared" si="14"/>
        <v>0.60599332349972823</v>
      </c>
    </row>
    <row r="35" spans="1:18" x14ac:dyDescent="0.3">
      <c r="A35" s="28" t="s">
        <v>49</v>
      </c>
      <c r="B35" s="64">
        <v>20820</v>
      </c>
      <c r="C35" s="64">
        <v>21202</v>
      </c>
      <c r="D35" s="64">
        <v>21385</v>
      </c>
      <c r="E35" s="64">
        <v>21937</v>
      </c>
      <c r="F35" s="64">
        <v>22481</v>
      </c>
      <c r="G35" s="64">
        <v>23148</v>
      </c>
      <c r="H35" s="64">
        <v>23961</v>
      </c>
      <c r="J35" s="29"/>
      <c r="K35" s="30">
        <f t="shared" si="8"/>
        <v>0.59546962590092667</v>
      </c>
      <c r="L35" s="30">
        <f t="shared" si="9"/>
        <v>0.58207275223061083</v>
      </c>
      <c r="M35" s="30">
        <f t="shared" si="10"/>
        <v>0.56775341156480641</v>
      </c>
      <c r="N35" s="30">
        <f t="shared" si="11"/>
        <v>0.55765417662311256</v>
      </c>
      <c r="O35" s="30">
        <f t="shared" si="12"/>
        <v>0.55482613095091193</v>
      </c>
      <c r="P35" s="30">
        <f t="shared" si="13"/>
        <v>0.55840208423795046</v>
      </c>
      <c r="Q35" s="30">
        <f t="shared" si="14"/>
        <v>0.56526457335629532</v>
      </c>
    </row>
    <row r="36" spans="1:18" x14ac:dyDescent="0.3">
      <c r="A36" s="28" t="s">
        <v>50</v>
      </c>
      <c r="B36" s="64">
        <v>21118</v>
      </c>
      <c r="C36" s="64">
        <v>21180</v>
      </c>
      <c r="D36" s="64">
        <v>21008</v>
      </c>
      <c r="E36" s="64">
        <v>21171</v>
      </c>
      <c r="F36" s="64">
        <v>21557</v>
      </c>
      <c r="G36" s="64">
        <v>21997</v>
      </c>
      <c r="H36" s="64">
        <v>22374</v>
      </c>
      <c r="J36" s="29"/>
      <c r="K36" s="30">
        <f t="shared" si="8"/>
        <v>0.59589717542820053</v>
      </c>
      <c r="L36" s="30">
        <f t="shared" si="9"/>
        <v>0.57462220895846339</v>
      </c>
      <c r="M36" s="30">
        <f t="shared" si="10"/>
        <v>0.56148603501269545</v>
      </c>
      <c r="N36" s="30">
        <f t="shared" si="11"/>
        <v>0.55521753953476172</v>
      </c>
      <c r="O36" s="30">
        <f t="shared" si="12"/>
        <v>0.55757591433448861</v>
      </c>
      <c r="P36" s="30">
        <f t="shared" si="13"/>
        <v>0.56255434504628921</v>
      </c>
      <c r="Q36" s="30">
        <f t="shared" si="14"/>
        <v>0.56582873906226294</v>
      </c>
    </row>
    <row r="37" spans="1:18" s="13" customFormat="1" x14ac:dyDescent="0.3">
      <c r="A37" s="28" t="s">
        <v>23</v>
      </c>
      <c r="B37" s="64">
        <v>36487</v>
      </c>
      <c r="C37" s="64">
        <v>38391</v>
      </c>
      <c r="D37" s="64">
        <v>40177</v>
      </c>
      <c r="E37" s="64">
        <v>42345</v>
      </c>
      <c r="F37" s="64">
        <v>44691</v>
      </c>
      <c r="G37" s="64">
        <v>46825</v>
      </c>
      <c r="H37" s="64">
        <v>48981</v>
      </c>
      <c r="J37" s="29"/>
      <c r="K37" s="30">
        <f t="shared" si="8"/>
        <v>0.62234768370062088</v>
      </c>
      <c r="L37" s="30">
        <f t="shared" si="9"/>
        <v>0.61568438777964873</v>
      </c>
      <c r="M37" s="30">
        <f t="shared" si="10"/>
        <v>0.60974943467241349</v>
      </c>
      <c r="N37" s="30">
        <f t="shared" si="11"/>
        <v>0.60739285099546736</v>
      </c>
      <c r="O37" s="30">
        <f t="shared" si="12"/>
        <v>0.61043271594820525</v>
      </c>
      <c r="P37" s="30">
        <f t="shared" si="13"/>
        <v>0.61173166111437716</v>
      </c>
      <c r="Q37" s="30">
        <f t="shared" si="14"/>
        <v>0.61320530315359867</v>
      </c>
    </row>
    <row r="38" spans="1:18" x14ac:dyDescent="0.3">
      <c r="A38" s="28" t="s">
        <v>51</v>
      </c>
      <c r="B38" s="64">
        <v>47323</v>
      </c>
      <c r="C38" s="64">
        <v>45732</v>
      </c>
      <c r="D38" s="64">
        <v>44743</v>
      </c>
      <c r="E38" s="64">
        <v>44322</v>
      </c>
      <c r="F38" s="64">
        <v>44525</v>
      </c>
      <c r="G38" s="64">
        <v>44473</v>
      </c>
      <c r="H38" s="64">
        <v>44516</v>
      </c>
      <c r="J38" s="31"/>
      <c r="K38" s="30">
        <f t="shared" si="8"/>
        <v>0.61470416314866527</v>
      </c>
      <c r="L38" s="30">
        <f t="shared" si="9"/>
        <v>0.59710144927536235</v>
      </c>
      <c r="M38" s="30">
        <f t="shared" si="10"/>
        <v>0.58714765629100829</v>
      </c>
      <c r="N38" s="30">
        <f t="shared" si="11"/>
        <v>0.58413727660920445</v>
      </c>
      <c r="O38" s="30">
        <f t="shared" si="12"/>
        <v>0.58990699276610403</v>
      </c>
      <c r="P38" s="30">
        <f t="shared" si="13"/>
        <v>0.59265724946695097</v>
      </c>
      <c r="Q38" s="30">
        <f t="shared" si="14"/>
        <v>0.5967132248465189</v>
      </c>
    </row>
    <row r="39" spans="1:18" s="13" customFormat="1" x14ac:dyDescent="0.3">
      <c r="A39" s="28" t="s">
        <v>24</v>
      </c>
      <c r="B39" s="64">
        <v>39626</v>
      </c>
      <c r="C39" s="64">
        <v>40694</v>
      </c>
      <c r="D39" s="64">
        <v>43147</v>
      </c>
      <c r="E39" s="64">
        <v>46320</v>
      </c>
      <c r="F39" s="64">
        <v>49981</v>
      </c>
      <c r="G39" s="64">
        <v>54246</v>
      </c>
      <c r="H39" s="64">
        <v>58482</v>
      </c>
      <c r="J39" s="31"/>
      <c r="K39" s="30">
        <f t="shared" si="8"/>
        <v>0.62821630705328413</v>
      </c>
      <c r="L39" s="30">
        <f t="shared" si="9"/>
        <v>0.61278761594988551</v>
      </c>
      <c r="M39" s="30">
        <f t="shared" si="10"/>
        <v>0.59508999379353145</v>
      </c>
      <c r="N39" s="30">
        <f t="shared" si="11"/>
        <v>0.58682680247805097</v>
      </c>
      <c r="O39" s="30">
        <f t="shared" si="12"/>
        <v>0.58812939058399916</v>
      </c>
      <c r="P39" s="30">
        <f t="shared" si="13"/>
        <v>0.59713354762009596</v>
      </c>
      <c r="Q39" s="30">
        <f t="shared" si="14"/>
        <v>0.60474639367147509</v>
      </c>
    </row>
    <row r="40" spans="1:18" s="19" customFormat="1" x14ac:dyDescent="0.3">
      <c r="A40" s="32" t="s">
        <v>86</v>
      </c>
      <c r="B40" s="33">
        <f t="shared" ref="B40:H40" si="15">SUM(B25:B39)</f>
        <v>1507157</v>
      </c>
      <c r="C40" s="33">
        <f t="shared" si="15"/>
        <v>1557967</v>
      </c>
      <c r="D40" s="33">
        <f t="shared" si="15"/>
        <v>1608625</v>
      </c>
      <c r="E40" s="33">
        <f t="shared" si="15"/>
        <v>1696702</v>
      </c>
      <c r="F40" s="33">
        <f t="shared" si="15"/>
        <v>1774942</v>
      </c>
      <c r="G40" s="33">
        <f t="shared" si="15"/>
        <v>1850655</v>
      </c>
      <c r="H40" s="33">
        <f t="shared" si="15"/>
        <v>1916531</v>
      </c>
      <c r="J40" s="58"/>
      <c r="K40" s="34">
        <f t="shared" si="8"/>
        <v>0.62249402042575475</v>
      </c>
      <c r="L40" s="34">
        <f t="shared" si="9"/>
        <v>0.60969665188049227</v>
      </c>
      <c r="M40" s="34">
        <f t="shared" si="10"/>
        <v>0.60092247600419291</v>
      </c>
      <c r="N40" s="34">
        <f t="shared" si="11"/>
        <v>0.60013936148388147</v>
      </c>
      <c r="O40" s="34">
        <f t="shared" si="12"/>
        <v>0.60275838039813234</v>
      </c>
      <c r="P40" s="34">
        <f t="shared" si="13"/>
        <v>0.60759806609246536</v>
      </c>
      <c r="Q40" s="34">
        <f t="shared" si="14"/>
        <v>0.60900041340815136</v>
      </c>
    </row>
    <row r="41" spans="1:18" x14ac:dyDescent="0.3">
      <c r="A41" s="11"/>
      <c r="B41" s="2"/>
      <c r="C41" s="2"/>
      <c r="D41" s="2"/>
      <c r="E41" s="2"/>
      <c r="F41" s="2"/>
      <c r="G41" s="2"/>
      <c r="H41" s="2"/>
      <c r="I41" s="2"/>
    </row>
    <row r="42" spans="1:18" s="9" customFormat="1" ht="26.25" customHeight="1" x14ac:dyDescent="0.3">
      <c r="A42" s="90" t="s">
        <v>54</v>
      </c>
      <c r="B42" s="90"/>
      <c r="C42" s="90"/>
      <c r="D42" s="90"/>
      <c r="E42" s="90"/>
      <c r="F42" s="90"/>
      <c r="G42" s="90"/>
      <c r="H42" s="90"/>
      <c r="I42" s="90"/>
      <c r="J42" s="90"/>
      <c r="K42" s="90"/>
      <c r="L42" s="90"/>
      <c r="M42" s="90"/>
      <c r="N42" s="90"/>
      <c r="O42" s="90"/>
      <c r="P42" s="90"/>
      <c r="Q42" s="90"/>
    </row>
    <row r="43" spans="1:18" s="9" customFormat="1" ht="15.75" customHeight="1" x14ac:dyDescent="0.3">
      <c r="A43" s="10"/>
      <c r="B43" s="18" t="s">
        <v>60</v>
      </c>
      <c r="C43" s="93" t="s">
        <v>61</v>
      </c>
      <c r="D43" s="93"/>
      <c r="E43" s="93"/>
      <c r="F43" s="93"/>
      <c r="G43" s="93"/>
      <c r="H43" s="93"/>
      <c r="I43" s="51"/>
      <c r="J43" s="10"/>
      <c r="K43" s="93" t="s">
        <v>62</v>
      </c>
      <c r="L43" s="93"/>
      <c r="M43" s="93"/>
      <c r="N43" s="93"/>
      <c r="O43" s="93"/>
      <c r="P43" s="93"/>
      <c r="Q43" s="93"/>
      <c r="R43" s="51"/>
    </row>
    <row r="44" spans="1:18" x14ac:dyDescent="0.3">
      <c r="A44" s="48" t="s">
        <v>0</v>
      </c>
      <c r="B44" s="4">
        <v>2020</v>
      </c>
      <c r="C44" s="4">
        <v>2025</v>
      </c>
      <c r="D44" s="4">
        <v>2030</v>
      </c>
      <c r="E44" s="4">
        <v>2035</v>
      </c>
      <c r="F44" s="4">
        <v>2040</v>
      </c>
      <c r="G44" s="4">
        <v>2045</v>
      </c>
      <c r="H44" s="4">
        <v>2050</v>
      </c>
      <c r="K44" s="4">
        <v>2020</v>
      </c>
      <c r="L44" s="4">
        <v>2025</v>
      </c>
      <c r="M44" s="4">
        <v>2030</v>
      </c>
      <c r="N44" s="4">
        <v>2035</v>
      </c>
      <c r="O44" s="4">
        <v>2040</v>
      </c>
      <c r="P44" s="4">
        <v>2045</v>
      </c>
      <c r="Q44" s="4">
        <v>2050</v>
      </c>
    </row>
    <row r="45" spans="1:18" s="13" customFormat="1" x14ac:dyDescent="0.3">
      <c r="A45" s="28" t="s">
        <v>18</v>
      </c>
      <c r="B45" s="65">
        <v>31652</v>
      </c>
      <c r="C45" s="65">
        <v>41399</v>
      </c>
      <c r="D45" s="65">
        <v>51830</v>
      </c>
      <c r="E45" s="65">
        <v>62263</v>
      </c>
      <c r="F45" s="65">
        <v>70999</v>
      </c>
      <c r="G45" s="65">
        <v>78056</v>
      </c>
      <c r="H45" s="65">
        <v>85365</v>
      </c>
      <c r="J45" s="29"/>
      <c r="K45" s="30">
        <f t="shared" ref="K45:K60" si="16">B45/(B45+B25+B5)</f>
        <v>0.14717616315295123</v>
      </c>
      <c r="L45" s="30">
        <f t="shared" ref="L45:L60" si="17">C45/(C45+C25+C5)</f>
        <v>0.16759643100042101</v>
      </c>
      <c r="M45" s="30">
        <f t="shared" ref="M45:M60" si="18">D45/(D45+D25+D5)</f>
        <v>0.18678554439174871</v>
      </c>
      <c r="N45" s="30">
        <f t="shared" ref="N45:N60" si="19">E45/(E45+E25+E5)</f>
        <v>0.20029080334423846</v>
      </c>
      <c r="O45" s="30">
        <f t="shared" ref="O45:O60" si="20">F45/(F45+F25+F5)</f>
        <v>0.20825890172681327</v>
      </c>
      <c r="P45" s="30">
        <f t="shared" ref="P45:P60" si="21">G45/(G45+G25+G5)</f>
        <v>0.21135803004004799</v>
      </c>
      <c r="Q45" s="30">
        <f t="shared" ref="Q45:Q60" si="22">H45/(H45+H25+H5)</f>
        <v>0.21464833780491177</v>
      </c>
    </row>
    <row r="46" spans="1:18" s="13" customFormat="1" x14ac:dyDescent="0.3">
      <c r="A46" s="28" t="s">
        <v>19</v>
      </c>
      <c r="B46" s="65">
        <v>26267</v>
      </c>
      <c r="C46" s="65">
        <v>29923</v>
      </c>
      <c r="D46" s="65">
        <v>33389</v>
      </c>
      <c r="E46" s="65">
        <v>35360</v>
      </c>
      <c r="F46" s="65">
        <v>36021</v>
      </c>
      <c r="G46" s="65">
        <v>36084</v>
      </c>
      <c r="H46" s="65">
        <v>36588</v>
      </c>
      <c r="J46" s="29"/>
      <c r="K46" s="30">
        <f t="shared" si="16"/>
        <v>0.16483116524532967</v>
      </c>
      <c r="L46" s="30">
        <f t="shared" si="17"/>
        <v>0.17686765218727649</v>
      </c>
      <c r="M46" s="30">
        <f t="shared" si="18"/>
        <v>0.18710668034004113</v>
      </c>
      <c r="N46" s="30">
        <f t="shared" si="19"/>
        <v>0.18726829784980403</v>
      </c>
      <c r="O46" s="30">
        <f t="shared" si="20"/>
        <v>0.18199042075906391</v>
      </c>
      <c r="P46" s="30">
        <f t="shared" si="21"/>
        <v>0.17482219336834556</v>
      </c>
      <c r="Q46" s="30">
        <f t="shared" si="22"/>
        <v>0.17027177959791512</v>
      </c>
    </row>
    <row r="47" spans="1:18" x14ac:dyDescent="0.3">
      <c r="A47" s="28" t="s">
        <v>44</v>
      </c>
      <c r="B47" s="65">
        <v>5349</v>
      </c>
      <c r="C47" s="65">
        <v>5803</v>
      </c>
      <c r="D47" s="65">
        <v>6229</v>
      </c>
      <c r="E47" s="65">
        <v>6414</v>
      </c>
      <c r="F47" s="65">
        <v>6459</v>
      </c>
      <c r="G47" s="65">
        <v>6410</v>
      </c>
      <c r="H47" s="65">
        <v>6371</v>
      </c>
      <c r="J47" s="29"/>
      <c r="K47" s="30">
        <f t="shared" si="16"/>
        <v>0.18483707108054875</v>
      </c>
      <c r="L47" s="30">
        <f t="shared" si="17"/>
        <v>0.19725347564499132</v>
      </c>
      <c r="M47" s="30">
        <f t="shared" si="18"/>
        <v>0.20755722901602747</v>
      </c>
      <c r="N47" s="30">
        <f t="shared" si="19"/>
        <v>0.20937520402167525</v>
      </c>
      <c r="O47" s="30">
        <f t="shared" si="20"/>
        <v>0.20688661114670084</v>
      </c>
      <c r="P47" s="30">
        <f t="shared" si="21"/>
        <v>0.20163573450770683</v>
      </c>
      <c r="Q47" s="30">
        <f t="shared" si="22"/>
        <v>0.19687886279357231</v>
      </c>
    </row>
    <row r="48" spans="1:18" s="13" customFormat="1" x14ac:dyDescent="0.3">
      <c r="A48" s="28" t="s">
        <v>20</v>
      </c>
      <c r="B48" s="65">
        <v>167805</v>
      </c>
      <c r="C48" s="65">
        <v>194235</v>
      </c>
      <c r="D48" s="65">
        <v>213954</v>
      </c>
      <c r="E48" s="65">
        <v>226281</v>
      </c>
      <c r="F48" s="65">
        <v>229776</v>
      </c>
      <c r="G48" s="65">
        <v>231428</v>
      </c>
      <c r="H48" s="65">
        <v>239292</v>
      </c>
      <c r="J48" s="29"/>
      <c r="K48" s="30">
        <f t="shared" si="16"/>
        <v>0.12673969213293224</v>
      </c>
      <c r="L48" s="30">
        <f t="shared" si="17"/>
        <v>0.13972464386347436</v>
      </c>
      <c r="M48" s="30">
        <f t="shared" si="18"/>
        <v>0.14785120483176581</v>
      </c>
      <c r="N48" s="30">
        <f t="shared" si="19"/>
        <v>0.14888435918423207</v>
      </c>
      <c r="O48" s="30">
        <f t="shared" si="20"/>
        <v>0.14593112576220141</v>
      </c>
      <c r="P48" s="30">
        <f t="shared" si="21"/>
        <v>0.14283633454962005</v>
      </c>
      <c r="Q48" s="30">
        <f t="shared" si="22"/>
        <v>0.14364006785464314</v>
      </c>
    </row>
    <row r="49" spans="1:17" x14ac:dyDescent="0.3">
      <c r="A49" s="28" t="s">
        <v>45</v>
      </c>
      <c r="B49" s="65">
        <v>5583</v>
      </c>
      <c r="C49" s="65">
        <v>6166</v>
      </c>
      <c r="D49" s="65">
        <v>6600</v>
      </c>
      <c r="E49" s="65">
        <v>6758</v>
      </c>
      <c r="F49" s="65">
        <v>6734</v>
      </c>
      <c r="G49" s="65">
        <v>6541</v>
      </c>
      <c r="H49" s="65">
        <v>6302</v>
      </c>
      <c r="J49" s="29"/>
      <c r="K49" s="30">
        <f t="shared" si="16"/>
        <v>0.19939997857066324</v>
      </c>
      <c r="L49" s="30">
        <f t="shared" si="17"/>
        <v>0.22048989808689434</v>
      </c>
      <c r="M49" s="30">
        <f t="shared" si="18"/>
        <v>0.23773503349902744</v>
      </c>
      <c r="N49" s="30">
        <f t="shared" si="19"/>
        <v>0.24459806724818126</v>
      </c>
      <c r="O49" s="30">
        <f t="shared" si="20"/>
        <v>0.24551553157357445</v>
      </c>
      <c r="P49" s="30">
        <f t="shared" si="21"/>
        <v>0.24056638470025746</v>
      </c>
      <c r="Q49" s="30">
        <f t="shared" si="22"/>
        <v>0.23381441769005307</v>
      </c>
    </row>
    <row r="50" spans="1:17" x14ac:dyDescent="0.3">
      <c r="A50" s="28" t="s">
        <v>46</v>
      </c>
      <c r="B50" s="65">
        <v>11852</v>
      </c>
      <c r="C50" s="65">
        <v>13486</v>
      </c>
      <c r="D50" s="65">
        <v>14535</v>
      </c>
      <c r="E50" s="65">
        <v>14983</v>
      </c>
      <c r="F50" s="65">
        <v>14759</v>
      </c>
      <c r="G50" s="65">
        <v>14299</v>
      </c>
      <c r="H50" s="65">
        <v>13956</v>
      </c>
      <c r="J50" s="29"/>
      <c r="K50" s="30">
        <f t="shared" si="16"/>
        <v>0.18883135505456863</v>
      </c>
      <c r="L50" s="30">
        <f t="shared" si="17"/>
        <v>0.21020309553127484</v>
      </c>
      <c r="M50" s="30">
        <f t="shared" si="18"/>
        <v>0.22245519521266013</v>
      </c>
      <c r="N50" s="30">
        <f t="shared" si="19"/>
        <v>0.22358348380165041</v>
      </c>
      <c r="O50" s="30">
        <f t="shared" si="20"/>
        <v>0.21664587155963302</v>
      </c>
      <c r="P50" s="30">
        <f t="shared" si="21"/>
        <v>0.20736110909697347</v>
      </c>
      <c r="Q50" s="30">
        <f t="shared" si="22"/>
        <v>0.19997134259922625</v>
      </c>
    </row>
    <row r="51" spans="1:17" s="13" customFormat="1" x14ac:dyDescent="0.3">
      <c r="A51" s="28" t="s">
        <v>21</v>
      </c>
      <c r="B51" s="65">
        <v>30747</v>
      </c>
      <c r="C51" s="65">
        <v>35849</v>
      </c>
      <c r="D51" s="65">
        <v>40110</v>
      </c>
      <c r="E51" s="65">
        <v>43686</v>
      </c>
      <c r="F51" s="65">
        <v>44072</v>
      </c>
      <c r="G51" s="65">
        <v>43053</v>
      </c>
      <c r="H51" s="65">
        <v>43083</v>
      </c>
      <c r="J51" s="29"/>
      <c r="K51" s="30">
        <f t="shared" si="16"/>
        <v>0.17207857622565481</v>
      </c>
      <c r="L51" s="30">
        <f t="shared" si="17"/>
        <v>0.18777466411753921</v>
      </c>
      <c r="M51" s="30">
        <f t="shared" si="18"/>
        <v>0.19984056599073291</v>
      </c>
      <c r="N51" s="30">
        <f t="shared" si="19"/>
        <v>0.20135323236327099</v>
      </c>
      <c r="O51" s="30">
        <f t="shared" si="20"/>
        <v>0.19515305557646578</v>
      </c>
      <c r="P51" s="30">
        <f t="shared" si="21"/>
        <v>0.18636290835739361</v>
      </c>
      <c r="Q51" s="30">
        <f t="shared" si="22"/>
        <v>0.18239896359895344</v>
      </c>
    </row>
    <row r="52" spans="1:17" x14ac:dyDescent="0.3">
      <c r="A52" s="28" t="s">
        <v>47</v>
      </c>
      <c r="B52" s="65">
        <v>8826</v>
      </c>
      <c r="C52" s="65">
        <v>9797</v>
      </c>
      <c r="D52" s="65">
        <v>10634</v>
      </c>
      <c r="E52" s="65">
        <v>10912</v>
      </c>
      <c r="F52" s="65">
        <v>10959</v>
      </c>
      <c r="G52" s="65">
        <v>10865</v>
      </c>
      <c r="H52" s="65">
        <v>10717</v>
      </c>
      <c r="J52" s="29"/>
      <c r="K52" s="30">
        <f t="shared" si="16"/>
        <v>0.19159882774340606</v>
      </c>
      <c r="L52" s="30">
        <f t="shared" si="17"/>
        <v>0.21253932096756697</v>
      </c>
      <c r="M52" s="30">
        <f t="shared" si="18"/>
        <v>0.22914646497295665</v>
      </c>
      <c r="N52" s="30">
        <f t="shared" si="19"/>
        <v>0.2333468768043111</v>
      </c>
      <c r="O52" s="30">
        <f t="shared" si="20"/>
        <v>0.23288282544944536</v>
      </c>
      <c r="P52" s="30">
        <f t="shared" si="21"/>
        <v>0.22953417133199536</v>
      </c>
      <c r="Q52" s="30">
        <f t="shared" si="22"/>
        <v>0.22509504106193948</v>
      </c>
    </row>
    <row r="53" spans="1:17" s="13" customFormat="1" x14ac:dyDescent="0.3">
      <c r="A53" s="28" t="s">
        <v>22</v>
      </c>
      <c r="B53" s="65">
        <v>7161</v>
      </c>
      <c r="C53" s="65">
        <v>8561</v>
      </c>
      <c r="D53" s="65">
        <v>9946</v>
      </c>
      <c r="E53" s="65">
        <v>10957</v>
      </c>
      <c r="F53" s="65">
        <v>11654</v>
      </c>
      <c r="G53" s="65">
        <v>11941</v>
      </c>
      <c r="H53" s="65">
        <v>12267</v>
      </c>
      <c r="J53" s="29"/>
      <c r="K53" s="30">
        <f t="shared" si="16"/>
        <v>0.16340734317595784</v>
      </c>
      <c r="L53" s="30">
        <f t="shared" si="17"/>
        <v>0.18415901219695829</v>
      </c>
      <c r="M53" s="30">
        <f t="shared" si="18"/>
        <v>0.20367374521327791</v>
      </c>
      <c r="N53" s="30">
        <f t="shared" si="19"/>
        <v>0.21312145024507897</v>
      </c>
      <c r="O53" s="30">
        <f t="shared" si="20"/>
        <v>0.21691545992629266</v>
      </c>
      <c r="P53" s="30">
        <f t="shared" si="21"/>
        <v>0.21359449065378769</v>
      </c>
      <c r="Q53" s="30">
        <f t="shared" si="22"/>
        <v>0.21119413263549341</v>
      </c>
    </row>
    <row r="54" spans="1:17" x14ac:dyDescent="0.3">
      <c r="A54" s="28" t="s">
        <v>48</v>
      </c>
      <c r="B54" s="65">
        <v>12173</v>
      </c>
      <c r="C54" s="65">
        <v>13390</v>
      </c>
      <c r="D54" s="65">
        <v>14048</v>
      </c>
      <c r="E54" s="65">
        <v>14016</v>
      </c>
      <c r="F54" s="65">
        <v>13488</v>
      </c>
      <c r="G54" s="65">
        <v>12749</v>
      </c>
      <c r="H54" s="65">
        <v>12197</v>
      </c>
      <c r="J54" s="29"/>
      <c r="K54" s="30">
        <f t="shared" si="16"/>
        <v>0.18623686183314719</v>
      </c>
      <c r="L54" s="30">
        <f t="shared" si="17"/>
        <v>0.20500964571148605</v>
      </c>
      <c r="M54" s="30">
        <f t="shared" si="18"/>
        <v>0.21559238796807859</v>
      </c>
      <c r="N54" s="30">
        <f t="shared" si="19"/>
        <v>0.21481776660638199</v>
      </c>
      <c r="O54" s="30">
        <f t="shared" si="20"/>
        <v>0.20731950998324597</v>
      </c>
      <c r="P54" s="30">
        <f t="shared" si="21"/>
        <v>0.19695050361490454</v>
      </c>
      <c r="Q54" s="30">
        <f t="shared" si="22"/>
        <v>0.18937970654452294</v>
      </c>
    </row>
    <row r="55" spans="1:17" x14ac:dyDescent="0.3">
      <c r="A55" s="28" t="s">
        <v>49</v>
      </c>
      <c r="B55" s="65">
        <v>6478</v>
      </c>
      <c r="C55" s="65">
        <v>7780</v>
      </c>
      <c r="D55" s="65">
        <v>8772</v>
      </c>
      <c r="E55" s="65">
        <v>9556</v>
      </c>
      <c r="F55" s="65">
        <v>10047</v>
      </c>
      <c r="G55" s="65">
        <v>10295</v>
      </c>
      <c r="H55" s="65">
        <v>10476</v>
      </c>
      <c r="J55" s="29"/>
      <c r="K55" s="30">
        <f t="shared" si="16"/>
        <v>0.18527628417801167</v>
      </c>
      <c r="L55" s="30">
        <f t="shared" si="17"/>
        <v>0.21358956760466713</v>
      </c>
      <c r="M55" s="30">
        <f t="shared" si="18"/>
        <v>0.23288907768279085</v>
      </c>
      <c r="N55" s="30">
        <f t="shared" si="19"/>
        <v>0.24292033148609488</v>
      </c>
      <c r="O55" s="30">
        <f t="shared" si="20"/>
        <v>0.2479577482168859</v>
      </c>
      <c r="P55" s="30">
        <f t="shared" si="21"/>
        <v>0.24834756597674532</v>
      </c>
      <c r="Q55" s="30">
        <f t="shared" si="22"/>
        <v>0.24713958810068651</v>
      </c>
    </row>
    <row r="56" spans="1:17" x14ac:dyDescent="0.3">
      <c r="A56" s="28" t="s">
        <v>50</v>
      </c>
      <c r="B56" s="65">
        <v>6226</v>
      </c>
      <c r="C56" s="65">
        <v>7340</v>
      </c>
      <c r="D56" s="65">
        <v>8061</v>
      </c>
      <c r="E56" s="65">
        <v>8545</v>
      </c>
      <c r="F56" s="65">
        <v>8585</v>
      </c>
      <c r="G56" s="65">
        <v>8510</v>
      </c>
      <c r="H56" s="65">
        <v>8468</v>
      </c>
      <c r="J56" s="29"/>
      <c r="K56" s="30">
        <f t="shared" si="16"/>
        <v>0.17568215807443777</v>
      </c>
      <c r="L56" s="30">
        <f t="shared" si="17"/>
        <v>0.19913725277408503</v>
      </c>
      <c r="M56" s="30">
        <f t="shared" si="18"/>
        <v>0.21544834959240947</v>
      </c>
      <c r="N56" s="30">
        <f t="shared" si="19"/>
        <v>0.2240958799926569</v>
      </c>
      <c r="O56" s="30">
        <f t="shared" si="20"/>
        <v>0.22205266152811545</v>
      </c>
      <c r="P56" s="30">
        <f t="shared" si="21"/>
        <v>0.21763592655107156</v>
      </c>
      <c r="Q56" s="30">
        <f t="shared" si="22"/>
        <v>0.21415204086793788</v>
      </c>
    </row>
    <row r="57" spans="1:17" s="13" customFormat="1" x14ac:dyDescent="0.3">
      <c r="A57" s="28" t="s">
        <v>23</v>
      </c>
      <c r="B57" s="65">
        <v>9641</v>
      </c>
      <c r="C57" s="65">
        <v>11171</v>
      </c>
      <c r="D57" s="65">
        <v>12567</v>
      </c>
      <c r="E57" s="65">
        <v>13797</v>
      </c>
      <c r="F57" s="65">
        <v>14623</v>
      </c>
      <c r="G57" s="65">
        <v>15228</v>
      </c>
      <c r="H57" s="65">
        <v>15715</v>
      </c>
      <c r="J57" s="29"/>
      <c r="K57" s="30">
        <f t="shared" si="16"/>
        <v>0.16444361056150644</v>
      </c>
      <c r="L57" s="30">
        <f t="shared" si="17"/>
        <v>0.17915163178574292</v>
      </c>
      <c r="M57" s="30">
        <f t="shared" si="18"/>
        <v>0.19072407460806484</v>
      </c>
      <c r="N57" s="30">
        <f t="shared" si="19"/>
        <v>0.19790292041998966</v>
      </c>
      <c r="O57" s="30">
        <f t="shared" si="20"/>
        <v>0.19973501611757635</v>
      </c>
      <c r="P57" s="30">
        <f t="shared" si="21"/>
        <v>0.19894179894179895</v>
      </c>
      <c r="Q57" s="30">
        <f t="shared" si="22"/>
        <v>0.19673998773113663</v>
      </c>
    </row>
    <row r="58" spans="1:17" x14ac:dyDescent="0.3">
      <c r="A58" s="28" t="s">
        <v>51</v>
      </c>
      <c r="B58" s="65">
        <v>13628</v>
      </c>
      <c r="C58" s="65">
        <v>15190</v>
      </c>
      <c r="D58" s="65">
        <v>16243</v>
      </c>
      <c r="E58" s="65">
        <v>16539</v>
      </c>
      <c r="F58" s="65">
        <v>16284</v>
      </c>
      <c r="G58" s="65">
        <v>15871</v>
      </c>
      <c r="H58" s="65">
        <v>15319</v>
      </c>
      <c r="J58" s="31"/>
      <c r="K58" s="30">
        <f t="shared" si="16"/>
        <v>0.17702149769435604</v>
      </c>
      <c r="L58" s="30">
        <f t="shared" si="17"/>
        <v>0.19832876354615486</v>
      </c>
      <c r="M58" s="30">
        <f t="shared" si="18"/>
        <v>0.21315154060154323</v>
      </c>
      <c r="N58" s="30">
        <f t="shared" si="19"/>
        <v>0.21797406294480468</v>
      </c>
      <c r="O58" s="30">
        <f t="shared" si="20"/>
        <v>0.21574498529372799</v>
      </c>
      <c r="P58" s="30">
        <f t="shared" si="21"/>
        <v>0.21150053304904051</v>
      </c>
      <c r="Q58" s="30">
        <f t="shared" si="22"/>
        <v>0.20534302029436208</v>
      </c>
    </row>
    <row r="59" spans="1:17" s="13" customFormat="1" x14ac:dyDescent="0.3">
      <c r="A59" s="28" t="s">
        <v>24</v>
      </c>
      <c r="B59" s="65">
        <v>8309</v>
      </c>
      <c r="C59" s="65">
        <v>9631</v>
      </c>
      <c r="D59" s="65">
        <v>11363</v>
      </c>
      <c r="E59" s="65">
        <v>12621</v>
      </c>
      <c r="F59" s="65">
        <v>13367</v>
      </c>
      <c r="G59" s="65">
        <v>13952</v>
      </c>
      <c r="H59" s="65">
        <v>14688</v>
      </c>
      <c r="J59" s="31"/>
      <c r="K59" s="30">
        <f t="shared" si="16"/>
        <v>0.13172788813672179</v>
      </c>
      <c r="L59" s="30">
        <f t="shared" si="17"/>
        <v>0.14502770750511987</v>
      </c>
      <c r="M59" s="30">
        <f t="shared" si="18"/>
        <v>0.15672022619129716</v>
      </c>
      <c r="N59" s="30">
        <f t="shared" si="19"/>
        <v>0.15989510090836531</v>
      </c>
      <c r="O59" s="30">
        <f t="shared" si="20"/>
        <v>0.15729028158572891</v>
      </c>
      <c r="P59" s="30">
        <f t="shared" si="21"/>
        <v>0.1535819646867157</v>
      </c>
      <c r="Q59" s="30">
        <f t="shared" si="22"/>
        <v>0.15188459748720334</v>
      </c>
    </row>
    <row r="60" spans="1:17" s="19" customFormat="1" x14ac:dyDescent="0.3">
      <c r="A60" s="32" t="s">
        <v>86</v>
      </c>
      <c r="B60" s="33">
        <f t="shared" ref="B60:H60" si="23">SUM(B45:B59)</f>
        <v>351697</v>
      </c>
      <c r="C60" s="33">
        <f t="shared" si="23"/>
        <v>409721</v>
      </c>
      <c r="D60" s="33">
        <f t="shared" si="23"/>
        <v>458281</v>
      </c>
      <c r="E60" s="33">
        <f t="shared" si="23"/>
        <v>492688</v>
      </c>
      <c r="F60" s="33">
        <f t="shared" si="23"/>
        <v>507827</v>
      </c>
      <c r="G60" s="33">
        <f t="shared" si="23"/>
        <v>515282</v>
      </c>
      <c r="H60" s="33">
        <f t="shared" si="23"/>
        <v>530804</v>
      </c>
      <c r="J60" s="58"/>
      <c r="K60" s="34">
        <f t="shared" si="16"/>
        <v>0.14525977021748676</v>
      </c>
      <c r="L60" s="34">
        <f t="shared" si="17"/>
        <v>0.16034070163561048</v>
      </c>
      <c r="M60" s="34">
        <f t="shared" si="18"/>
        <v>0.17119673834838917</v>
      </c>
      <c r="N60" s="34">
        <f t="shared" si="19"/>
        <v>0.17426835220962231</v>
      </c>
      <c r="O60" s="34">
        <f t="shared" si="20"/>
        <v>0.17245463797827892</v>
      </c>
      <c r="P60" s="34">
        <f t="shared" si="21"/>
        <v>0.16917488494195718</v>
      </c>
      <c r="Q60" s="34">
        <f t="shared" si="22"/>
        <v>0.16866925473091768</v>
      </c>
    </row>
    <row r="63" spans="1:17" x14ac:dyDescent="0.3">
      <c r="B63" s="50" t="s">
        <v>149</v>
      </c>
    </row>
  </sheetData>
  <mergeCells count="10">
    <mergeCell ref="C43:H43"/>
    <mergeCell ref="K43:Q43"/>
    <mergeCell ref="C1:R1"/>
    <mergeCell ref="A22:Q22"/>
    <mergeCell ref="A42:Q42"/>
    <mergeCell ref="A2:R2"/>
    <mergeCell ref="C3:H3"/>
    <mergeCell ref="K3:Q3"/>
    <mergeCell ref="C23:H23"/>
    <mergeCell ref="K23:Q23"/>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8ECE7E-4224-4127-970F-3F6104290345}">
  <dimension ref="A1:R46"/>
  <sheetViews>
    <sheetView zoomScaleNormal="100" workbookViewId="0">
      <selection activeCell="B46" sqref="B46"/>
    </sheetView>
  </sheetViews>
  <sheetFormatPr defaultRowHeight="14.4" x14ac:dyDescent="0.3"/>
  <cols>
    <col min="1" max="1" width="20.109375" customWidth="1"/>
    <col min="2" max="2" width="10.6640625" customWidth="1"/>
    <col min="3" max="3" width="11.33203125" bestFit="1" customWidth="1"/>
    <col min="4" max="4" width="11.109375" customWidth="1"/>
    <col min="5" max="5" width="11.33203125" bestFit="1" customWidth="1"/>
    <col min="6" max="6" width="10.6640625" customWidth="1"/>
    <col min="7" max="7" width="11.33203125" customWidth="1"/>
    <col min="8" max="8" width="10.33203125" customWidth="1"/>
    <col min="9" max="9" width="2.6640625" customWidth="1"/>
    <col min="10" max="10" width="2.33203125" customWidth="1"/>
    <col min="11" max="11" width="11.33203125" bestFit="1" customWidth="1"/>
    <col min="12" max="12" width="10.44140625" customWidth="1"/>
    <col min="13" max="13" width="11.33203125" bestFit="1" customWidth="1"/>
    <col min="14" max="14" width="10.88671875" customWidth="1"/>
    <col min="15" max="15" width="11.33203125" bestFit="1" customWidth="1"/>
    <col min="16" max="16" width="10.88671875" customWidth="1"/>
    <col min="17" max="17" width="11.33203125" bestFit="1" customWidth="1"/>
  </cols>
  <sheetData>
    <row r="1" spans="1:18" ht="65.25" customHeight="1" x14ac:dyDescent="0.4">
      <c r="C1" s="88" t="s">
        <v>67</v>
      </c>
      <c r="D1" s="88"/>
      <c r="E1" s="88"/>
      <c r="F1" s="88"/>
      <c r="G1" s="88"/>
      <c r="H1" s="88"/>
      <c r="I1" s="88"/>
      <c r="J1" s="88"/>
      <c r="K1" s="88"/>
      <c r="L1" s="88"/>
      <c r="M1" s="88"/>
      <c r="N1" s="88"/>
      <c r="O1" s="88"/>
      <c r="P1" s="88"/>
      <c r="Q1" s="88"/>
      <c r="R1" s="88"/>
    </row>
    <row r="2" spans="1:18" s="9" customFormat="1" ht="26.25" customHeight="1" x14ac:dyDescent="0.3">
      <c r="A2" s="90" t="s">
        <v>73</v>
      </c>
      <c r="B2" s="90"/>
      <c r="C2" s="90"/>
      <c r="D2" s="90"/>
      <c r="E2" s="90"/>
      <c r="F2" s="90"/>
      <c r="G2" s="90"/>
      <c r="H2" s="90"/>
      <c r="I2" s="90"/>
      <c r="J2" s="90"/>
      <c r="K2" s="90"/>
      <c r="L2" s="90"/>
      <c r="M2" s="90"/>
      <c r="N2" s="90"/>
      <c r="O2" s="90"/>
      <c r="P2" s="90"/>
      <c r="Q2" s="90"/>
      <c r="R2" s="90"/>
    </row>
    <row r="3" spans="1:18" s="9" customFormat="1" ht="15.75" customHeight="1" x14ac:dyDescent="0.3">
      <c r="A3" s="10"/>
      <c r="B3" s="18" t="s">
        <v>60</v>
      </c>
      <c r="C3" s="93" t="s">
        <v>61</v>
      </c>
      <c r="D3" s="93"/>
      <c r="E3" s="93"/>
      <c r="F3" s="93"/>
      <c r="G3" s="93"/>
      <c r="H3" s="93"/>
      <c r="I3" s="51"/>
      <c r="J3" s="10"/>
      <c r="K3" s="93" t="s">
        <v>81</v>
      </c>
      <c r="L3" s="93"/>
      <c r="M3" s="93"/>
      <c r="N3" s="93"/>
      <c r="O3" s="93"/>
      <c r="P3" s="93"/>
      <c r="Q3" s="93"/>
      <c r="R3" s="51"/>
    </row>
    <row r="4" spans="1:18" x14ac:dyDescent="0.3">
      <c r="A4" s="48" t="s">
        <v>0</v>
      </c>
      <c r="B4" s="4">
        <v>2020</v>
      </c>
      <c r="C4" s="4">
        <v>2025</v>
      </c>
      <c r="D4" s="4">
        <v>2030</v>
      </c>
      <c r="E4" s="4">
        <v>2035</v>
      </c>
      <c r="F4" s="4">
        <v>2040</v>
      </c>
      <c r="G4" s="4">
        <v>2045</v>
      </c>
      <c r="H4" s="4">
        <v>2050</v>
      </c>
      <c r="K4" s="4">
        <v>2020</v>
      </c>
      <c r="L4" s="4">
        <v>2025</v>
      </c>
      <c r="M4" s="4">
        <v>2030</v>
      </c>
      <c r="N4" s="4">
        <v>2035</v>
      </c>
      <c r="O4" s="4">
        <v>2040</v>
      </c>
      <c r="P4" s="4">
        <v>2045</v>
      </c>
      <c r="Q4" s="4">
        <v>2050</v>
      </c>
    </row>
    <row r="5" spans="1:18" s="7" customFormat="1" x14ac:dyDescent="0.3">
      <c r="A5" s="36" t="s">
        <v>18</v>
      </c>
      <c r="B5" s="63">
        <v>2739</v>
      </c>
      <c r="C5" s="63">
        <v>3160</v>
      </c>
      <c r="D5" s="63">
        <v>3549</v>
      </c>
      <c r="E5" s="63">
        <v>3976</v>
      </c>
      <c r="F5" s="63">
        <v>4361</v>
      </c>
      <c r="G5" s="63">
        <v>4724</v>
      </c>
      <c r="H5" s="63">
        <v>5087</v>
      </c>
      <c r="J5" s="37"/>
      <c r="K5" s="38">
        <f t="shared" ref="K5:K20" si="0">B5/(B5+B25)</f>
        <v>1.2795717008633254E-2</v>
      </c>
      <c r="L5" s="38">
        <f t="shared" ref="L5:L20" si="1">C5/(C5+C25)</f>
        <v>1.2797719090065971E-2</v>
      </c>
      <c r="M5" s="38">
        <f t="shared" ref="M5:M20" si="2">D5/(D5+D25)</f>
        <v>1.2794814296735861E-2</v>
      </c>
      <c r="N5" s="38">
        <f t="shared" ref="N5:N20" si="3">E5/(E5+E25)</f>
        <v>1.2794686472257802E-2</v>
      </c>
      <c r="O5" s="38">
        <f t="shared" ref="O5:O20" si="4">F5/(F5+F25)</f>
        <v>1.2795948487578163E-2</v>
      </c>
      <c r="P5" s="38">
        <f t="shared" ref="P5:P20" si="5">G5/(G5+G25)</f>
        <v>1.2795440879320899E-2</v>
      </c>
      <c r="Q5" s="38">
        <f t="shared" ref="Q5:Q20" si="6">H5/(H5+H25)</f>
        <v>1.2795134478447977E-2</v>
      </c>
    </row>
    <row r="6" spans="1:18" s="7" customFormat="1" x14ac:dyDescent="0.3">
      <c r="A6" s="36" t="s">
        <v>19</v>
      </c>
      <c r="B6" s="63">
        <v>3095</v>
      </c>
      <c r="C6" s="63">
        <v>3295</v>
      </c>
      <c r="D6" s="63">
        <v>3475</v>
      </c>
      <c r="E6" s="63">
        <v>3677</v>
      </c>
      <c r="F6" s="63">
        <v>3855</v>
      </c>
      <c r="G6" s="63">
        <v>4020</v>
      </c>
      <c r="H6" s="63">
        <v>4185</v>
      </c>
      <c r="J6" s="37"/>
      <c r="K6" s="38">
        <f t="shared" si="0"/>
        <v>1.9479865560604725E-2</v>
      </c>
      <c r="L6" s="38">
        <f t="shared" si="1"/>
        <v>1.9483322394290407E-2</v>
      </c>
      <c r="M6" s="38">
        <f t="shared" si="2"/>
        <v>1.9482303340864628E-2</v>
      </c>
      <c r="N6" s="38">
        <f t="shared" si="3"/>
        <v>1.9481723631855293E-2</v>
      </c>
      <c r="O6" s="38">
        <f t="shared" si="4"/>
        <v>1.9483276222821967E-2</v>
      </c>
      <c r="P6" s="38">
        <f t="shared" si="5"/>
        <v>1.9481180307531269E-2</v>
      </c>
      <c r="Q6" s="38">
        <f t="shared" si="6"/>
        <v>1.9479794077397857E-2</v>
      </c>
    </row>
    <row r="7" spans="1:18" s="7" customFormat="1" x14ac:dyDescent="0.3">
      <c r="A7" s="36" t="s">
        <v>44</v>
      </c>
      <c r="B7" s="63">
        <v>320</v>
      </c>
      <c r="C7" s="63">
        <v>326</v>
      </c>
      <c r="D7" s="63">
        <v>332</v>
      </c>
      <c r="E7" s="63">
        <v>339</v>
      </c>
      <c r="F7" s="63">
        <v>345</v>
      </c>
      <c r="G7" s="63">
        <v>352</v>
      </c>
      <c r="H7" s="63">
        <v>358</v>
      </c>
      <c r="J7" s="37"/>
      <c r="K7" s="38">
        <f t="shared" si="0"/>
        <v>1.1058506410477936E-2</v>
      </c>
      <c r="L7" s="38">
        <f t="shared" si="1"/>
        <v>1.1092585661301847E-2</v>
      </c>
      <c r="M7" s="38">
        <f t="shared" si="2"/>
        <v>1.1080332409972297E-2</v>
      </c>
      <c r="N7" s="38">
        <f t="shared" si="3"/>
        <v>1.1084589477814469E-2</v>
      </c>
      <c r="O7" s="38">
        <f t="shared" si="4"/>
        <v>1.1067624791479533E-2</v>
      </c>
      <c r="P7" s="38">
        <f t="shared" si="5"/>
        <v>1.1086963368925007E-2</v>
      </c>
      <c r="Q7" s="38">
        <f t="shared" si="6"/>
        <v>1.107467673080492E-2</v>
      </c>
    </row>
    <row r="8" spans="1:18" s="7" customFormat="1" x14ac:dyDescent="0.3">
      <c r="A8" s="36" t="s">
        <v>20</v>
      </c>
      <c r="B8" s="63">
        <v>29452</v>
      </c>
      <c r="C8" s="63">
        <v>30928</v>
      </c>
      <c r="D8" s="63">
        <v>32195</v>
      </c>
      <c r="E8" s="63">
        <v>33814</v>
      </c>
      <c r="F8" s="63">
        <v>35031</v>
      </c>
      <c r="G8" s="63">
        <v>36047</v>
      </c>
      <c r="H8" s="63">
        <v>37064</v>
      </c>
      <c r="J8" s="37"/>
      <c r="K8" s="38">
        <f t="shared" si="0"/>
        <v>2.2250376417562476E-2</v>
      </c>
      <c r="L8" s="38">
        <f t="shared" si="1"/>
        <v>2.2249943526236205E-2</v>
      </c>
      <c r="M8" s="38">
        <f t="shared" si="2"/>
        <v>2.2250004492158068E-2</v>
      </c>
      <c r="N8" s="38">
        <f t="shared" si="3"/>
        <v>2.2252069474048581E-2</v>
      </c>
      <c r="O8" s="38">
        <f t="shared" si="4"/>
        <v>2.2252699087049209E-2</v>
      </c>
      <c r="P8" s="38">
        <f t="shared" si="5"/>
        <v>2.2254091883402313E-2</v>
      </c>
      <c r="Q8" s="38">
        <f t="shared" si="6"/>
        <v>2.2254913145554004E-2</v>
      </c>
    </row>
    <row r="9" spans="1:18" s="7" customFormat="1" x14ac:dyDescent="0.3">
      <c r="A9" s="36" t="s">
        <v>45</v>
      </c>
      <c r="B9" s="63">
        <v>470</v>
      </c>
      <c r="C9" s="63">
        <v>468</v>
      </c>
      <c r="D9" s="63">
        <v>465</v>
      </c>
      <c r="E9" s="63">
        <v>463</v>
      </c>
      <c r="F9" s="63">
        <v>459</v>
      </c>
      <c r="G9" s="63">
        <v>455</v>
      </c>
      <c r="H9" s="63">
        <v>451</v>
      </c>
      <c r="J9" s="37"/>
      <c r="K9" s="38">
        <f t="shared" si="0"/>
        <v>1.6759975751524443E-2</v>
      </c>
      <c r="L9" s="38">
        <f t="shared" si="1"/>
        <v>1.6748380632000851E-2</v>
      </c>
      <c r="M9" s="38">
        <f t="shared" si="2"/>
        <v>1.6768237712307527E-2</v>
      </c>
      <c r="N9" s="38">
        <f t="shared" si="3"/>
        <v>1.677900992969486E-2</v>
      </c>
      <c r="O9" s="38">
        <f t="shared" si="4"/>
        <v>1.6756717289719624E-2</v>
      </c>
      <c r="P9" s="38">
        <f t="shared" si="5"/>
        <v>1.6755044925614967E-2</v>
      </c>
      <c r="Q9" s="38">
        <f t="shared" si="6"/>
        <v>1.6751476432789812E-2</v>
      </c>
    </row>
    <row r="10" spans="1:18" s="7" customFormat="1" x14ac:dyDescent="0.3">
      <c r="A10" s="36" t="s">
        <v>46</v>
      </c>
      <c r="B10" s="63">
        <v>3768</v>
      </c>
      <c r="C10" s="63">
        <v>3855</v>
      </c>
      <c r="D10" s="63">
        <v>3926</v>
      </c>
      <c r="E10" s="63">
        <v>4026</v>
      </c>
      <c r="F10" s="63">
        <v>4093</v>
      </c>
      <c r="G10" s="63">
        <v>4143</v>
      </c>
      <c r="H10" s="63">
        <v>4193</v>
      </c>
      <c r="J10" s="37"/>
      <c r="K10" s="38">
        <f t="shared" si="0"/>
        <v>6.0016246436137163E-2</v>
      </c>
      <c r="L10" s="38">
        <f t="shared" si="1"/>
        <v>5.9968265820421862E-2</v>
      </c>
      <c r="M10" s="38">
        <f t="shared" si="2"/>
        <v>5.9936186128879604E-2</v>
      </c>
      <c r="N10" s="38">
        <f t="shared" si="3"/>
        <v>5.9910714285714282E-2</v>
      </c>
      <c r="O10" s="38">
        <f t="shared" si="4"/>
        <v>5.9920652348953975E-2</v>
      </c>
      <c r="P10" s="38">
        <f t="shared" si="5"/>
        <v>5.9939236111111086E-2</v>
      </c>
      <c r="Q10" s="38">
        <f t="shared" si="6"/>
        <v>5.9953958562706439E-2</v>
      </c>
    </row>
    <row r="11" spans="1:18" s="7" customFormat="1" x14ac:dyDescent="0.3">
      <c r="A11" s="36" t="s">
        <v>21</v>
      </c>
      <c r="B11" s="63">
        <v>4027</v>
      </c>
      <c r="C11" s="63">
        <v>4307</v>
      </c>
      <c r="D11" s="63">
        <v>4528</v>
      </c>
      <c r="E11" s="63">
        <v>4895</v>
      </c>
      <c r="F11" s="63">
        <v>5095</v>
      </c>
      <c r="G11" s="63">
        <v>5212</v>
      </c>
      <c r="H11" s="63">
        <v>5329</v>
      </c>
      <c r="J11" s="37"/>
      <c r="K11" s="38">
        <f t="shared" si="0"/>
        <v>2.2561108839002086E-2</v>
      </c>
      <c r="L11" s="38">
        <f t="shared" si="1"/>
        <v>2.2561314182145811E-2</v>
      </c>
      <c r="M11" s="38">
        <f t="shared" si="2"/>
        <v>2.2560249517954038E-2</v>
      </c>
      <c r="N11" s="38">
        <f t="shared" si="3"/>
        <v>2.2561970519639742E-2</v>
      </c>
      <c r="O11" s="38">
        <f t="shared" si="4"/>
        <v>2.2562217695509697E-2</v>
      </c>
      <c r="P11" s="38">
        <f t="shared" si="5"/>
        <v>2.2565114990302025E-2</v>
      </c>
      <c r="Q11" s="38">
        <f t="shared" si="6"/>
        <v>2.2567025632990463E-2</v>
      </c>
    </row>
    <row r="12" spans="1:18" s="7" customFormat="1" x14ac:dyDescent="0.3">
      <c r="A12" s="36" t="s">
        <v>47</v>
      </c>
      <c r="B12" s="63">
        <v>490</v>
      </c>
      <c r="C12" s="63">
        <v>489</v>
      </c>
      <c r="D12" s="63">
        <v>493</v>
      </c>
      <c r="E12" s="63">
        <v>496</v>
      </c>
      <c r="F12" s="63">
        <v>500</v>
      </c>
      <c r="G12" s="63">
        <v>503</v>
      </c>
      <c r="H12" s="63">
        <v>505</v>
      </c>
      <c r="J12" s="37"/>
      <c r="K12" s="38">
        <f t="shared" si="0"/>
        <v>1.0620773365701403E-2</v>
      </c>
      <c r="L12" s="38">
        <f t="shared" si="1"/>
        <v>1.0618892508143324E-2</v>
      </c>
      <c r="M12" s="38">
        <f t="shared" si="2"/>
        <v>1.0638986598761302E-2</v>
      </c>
      <c r="N12" s="38">
        <f t="shared" si="3"/>
        <v>1.0623714873200824E-2</v>
      </c>
      <c r="O12" s="38">
        <f t="shared" si="4"/>
        <v>1.0641920653839603E-2</v>
      </c>
      <c r="P12" s="38">
        <f t="shared" si="5"/>
        <v>1.0642124193377761E-2</v>
      </c>
      <c r="Q12" s="38">
        <f t="shared" si="6"/>
        <v>1.0621069678423453E-2</v>
      </c>
    </row>
    <row r="13" spans="1:18" s="7" customFormat="1" x14ac:dyDescent="0.3">
      <c r="A13" s="36" t="s">
        <v>22</v>
      </c>
      <c r="B13" s="63">
        <v>5229</v>
      </c>
      <c r="C13" s="63">
        <v>5547</v>
      </c>
      <c r="D13" s="63">
        <v>5827</v>
      </c>
      <c r="E13" s="63">
        <v>6135</v>
      </c>
      <c r="F13" s="63">
        <v>6411</v>
      </c>
      <c r="G13" s="63">
        <v>6671</v>
      </c>
      <c r="H13" s="63">
        <v>6931</v>
      </c>
      <c r="J13" s="37"/>
      <c r="K13" s="38">
        <f t="shared" si="0"/>
        <v>0.11926919392363483</v>
      </c>
      <c r="L13" s="38">
        <f t="shared" si="1"/>
        <v>0.11912636371445756</v>
      </c>
      <c r="M13" s="38">
        <f t="shared" si="2"/>
        <v>0.11897178324962226</v>
      </c>
      <c r="N13" s="38">
        <f t="shared" si="3"/>
        <v>0.1189045662454454</v>
      </c>
      <c r="O13" s="38">
        <f t="shared" si="4"/>
        <v>0.11896234992855953</v>
      </c>
      <c r="P13" s="38">
        <f t="shared" si="5"/>
        <v>0.1190187332738626</v>
      </c>
      <c r="Q13" s="38">
        <f t="shared" si="6"/>
        <v>0.11904639219525601</v>
      </c>
    </row>
    <row r="14" spans="1:18" s="7" customFormat="1" x14ac:dyDescent="0.3">
      <c r="A14" s="36" t="s">
        <v>48</v>
      </c>
      <c r="B14" s="63">
        <v>5667</v>
      </c>
      <c r="C14" s="63">
        <v>5663</v>
      </c>
      <c r="D14" s="63">
        <v>5650</v>
      </c>
      <c r="E14" s="63">
        <v>5658</v>
      </c>
      <c r="F14" s="63">
        <v>5641</v>
      </c>
      <c r="G14" s="63">
        <v>5613</v>
      </c>
      <c r="H14" s="63">
        <v>5585</v>
      </c>
      <c r="J14" s="37"/>
      <c r="K14" s="38">
        <f t="shared" si="0"/>
        <v>8.6646076692557014E-2</v>
      </c>
      <c r="L14" s="38">
        <f t="shared" si="1"/>
        <v>8.6534641361816586E-2</v>
      </c>
      <c r="M14" s="38">
        <f t="shared" si="2"/>
        <v>8.6499892831991207E-2</v>
      </c>
      <c r="N14" s="38">
        <f t="shared" si="3"/>
        <v>8.6587904015670944E-2</v>
      </c>
      <c r="O14" s="38">
        <f t="shared" si="4"/>
        <v>8.6664618220924861E-2</v>
      </c>
      <c r="P14" s="38">
        <f t="shared" si="5"/>
        <v>8.6699309556540677E-2</v>
      </c>
      <c r="Q14" s="38">
        <f t="shared" si="6"/>
        <v>8.6700715649595583E-2</v>
      </c>
    </row>
    <row r="15" spans="1:18" s="7" customFormat="1" x14ac:dyDescent="0.3">
      <c r="A15" s="36" t="s">
        <v>49</v>
      </c>
      <c r="B15" s="63">
        <v>275</v>
      </c>
      <c r="C15" s="63">
        <v>286</v>
      </c>
      <c r="D15" s="63">
        <v>296</v>
      </c>
      <c r="E15" s="63">
        <v>309</v>
      </c>
      <c r="F15" s="63">
        <v>319</v>
      </c>
      <c r="G15" s="63">
        <v>326</v>
      </c>
      <c r="H15" s="63">
        <v>333</v>
      </c>
      <c r="J15" s="37"/>
      <c r="K15" s="38">
        <f t="shared" si="0"/>
        <v>7.870184877797495E-3</v>
      </c>
      <c r="L15" s="38">
        <f t="shared" si="1"/>
        <v>7.8588700813365577E-3</v>
      </c>
      <c r="M15" s="38">
        <f t="shared" si="2"/>
        <v>7.8689919183326223E-3</v>
      </c>
      <c r="N15" s="38">
        <f t="shared" si="3"/>
        <v>7.8669993380518378E-3</v>
      </c>
      <c r="O15" s="38">
        <f t="shared" si="4"/>
        <v>7.8856945096778958E-3</v>
      </c>
      <c r="P15" s="38">
        <f t="shared" si="5"/>
        <v>7.8770598753201571E-3</v>
      </c>
      <c r="Q15" s="38">
        <f t="shared" si="6"/>
        <v>7.8689919183326257E-3</v>
      </c>
    </row>
    <row r="16" spans="1:18" s="7" customFormat="1" x14ac:dyDescent="0.3">
      <c r="A16" s="36" t="s">
        <v>50</v>
      </c>
      <c r="B16" s="63">
        <v>338</v>
      </c>
      <c r="C16" s="63">
        <v>352</v>
      </c>
      <c r="D16" s="63">
        <v>358</v>
      </c>
      <c r="E16" s="63">
        <v>365</v>
      </c>
      <c r="F16" s="63">
        <v>370</v>
      </c>
      <c r="G16" s="63">
        <v>374</v>
      </c>
      <c r="H16" s="63">
        <v>378</v>
      </c>
      <c r="J16" s="37"/>
      <c r="K16" s="38">
        <f t="shared" si="0"/>
        <v>9.5482923246419382E-3</v>
      </c>
      <c r="L16" s="38">
        <f t="shared" si="1"/>
        <v>9.5579450418160107E-3</v>
      </c>
      <c r="M16" s="38">
        <f t="shared" si="2"/>
        <v>9.580646024567133E-3</v>
      </c>
      <c r="N16" s="38">
        <f t="shared" si="3"/>
        <v>9.586846321540202E-3</v>
      </c>
      <c r="O16" s="38">
        <f t="shared" si="4"/>
        <v>9.5842507447221892E-3</v>
      </c>
      <c r="P16" s="38">
        <f t="shared" si="5"/>
        <v>9.5779553370211046E-3</v>
      </c>
      <c r="Q16" s="38">
        <f t="shared" si="6"/>
        <v>9.5715587967183206E-3</v>
      </c>
    </row>
    <row r="17" spans="1:18" s="7" customFormat="1" x14ac:dyDescent="0.3">
      <c r="A17" s="36" t="s">
        <v>23</v>
      </c>
      <c r="B17" s="63">
        <v>4631</v>
      </c>
      <c r="C17" s="63">
        <v>4932</v>
      </c>
      <c r="D17" s="63">
        <v>5212</v>
      </c>
      <c r="E17" s="63">
        <v>5515</v>
      </c>
      <c r="F17" s="63">
        <v>5791</v>
      </c>
      <c r="G17" s="63">
        <v>6055</v>
      </c>
      <c r="H17" s="63">
        <v>6318</v>
      </c>
      <c r="J17" s="37"/>
      <c r="K17" s="38">
        <f t="shared" si="0"/>
        <v>7.9104248159472548E-2</v>
      </c>
      <c r="L17" s="38">
        <f t="shared" si="1"/>
        <v>7.9070140280561127E-2</v>
      </c>
      <c r="M17" s="38">
        <f t="shared" si="2"/>
        <v>7.905354163506749E-2</v>
      </c>
      <c r="N17" s="38">
        <f t="shared" si="3"/>
        <v>7.9055632803428838E-2</v>
      </c>
      <c r="O17" s="38">
        <f t="shared" si="4"/>
        <v>7.907529289674195E-2</v>
      </c>
      <c r="P17" s="38">
        <f t="shared" si="5"/>
        <v>7.9088296760710552E-2</v>
      </c>
      <c r="Q17" s="38">
        <f t="shared" si="6"/>
        <v>7.9087699972460762E-2</v>
      </c>
    </row>
    <row r="18" spans="1:18" s="7" customFormat="1" x14ac:dyDescent="0.3">
      <c r="A18" s="36" t="s">
        <v>51</v>
      </c>
      <c r="B18" s="63">
        <v>5866</v>
      </c>
      <c r="C18" s="63">
        <v>5828</v>
      </c>
      <c r="D18" s="63">
        <v>5799</v>
      </c>
      <c r="E18" s="63">
        <v>5774</v>
      </c>
      <c r="F18" s="63">
        <v>5743</v>
      </c>
      <c r="G18" s="63">
        <v>5710</v>
      </c>
      <c r="H18" s="63">
        <v>5677</v>
      </c>
      <c r="J18" s="39"/>
      <c r="K18" s="38">
        <f t="shared" si="0"/>
        <v>7.6057360682519518E-2</v>
      </c>
      <c r="L18" s="38">
        <f t="shared" si="1"/>
        <v>7.5970487785801816E-2</v>
      </c>
      <c r="M18" s="38">
        <f t="shared" si="2"/>
        <v>7.5930969465249062E-2</v>
      </c>
      <c r="N18" s="38">
        <f t="shared" si="3"/>
        <v>7.5917744819606628E-2</v>
      </c>
      <c r="O18" s="38">
        <f t="shared" si="4"/>
        <v>7.5948530092439501E-2</v>
      </c>
      <c r="P18" s="38">
        <f t="shared" si="5"/>
        <v>7.5966207676445158E-2</v>
      </c>
      <c r="Q18" s="38">
        <f t="shared" si="6"/>
        <v>7.5987150314549598E-2</v>
      </c>
    </row>
    <row r="19" spans="1:18" s="7" customFormat="1" x14ac:dyDescent="0.3">
      <c r="A19" s="36" t="s">
        <v>24</v>
      </c>
      <c r="B19" s="63">
        <v>3536</v>
      </c>
      <c r="C19" s="63">
        <v>3740</v>
      </c>
      <c r="D19" s="63">
        <v>4083</v>
      </c>
      <c r="E19" s="63">
        <v>4445</v>
      </c>
      <c r="F19" s="63">
        <v>4786</v>
      </c>
      <c r="G19" s="63">
        <v>5116</v>
      </c>
      <c r="H19" s="63">
        <v>5446</v>
      </c>
      <c r="J19" s="39"/>
      <c r="K19" s="38">
        <f t="shared" si="0"/>
        <v>5.6383843860124697E-2</v>
      </c>
      <c r="L19" s="38">
        <f t="shared" si="1"/>
        <v>5.6340574252056283E-2</v>
      </c>
      <c r="M19" s="38">
        <f t="shared" si="2"/>
        <v>5.6279980151072391E-2</v>
      </c>
      <c r="N19" s="38">
        <f t="shared" si="3"/>
        <v>5.6249446363716926E-2</v>
      </c>
      <c r="O19" s="38">
        <f t="shared" si="4"/>
        <v>5.6253599595669924E-2</v>
      </c>
      <c r="P19" s="38">
        <f t="shared" si="5"/>
        <v>5.6285962615382913E-2</v>
      </c>
      <c r="Q19" s="38">
        <f t="shared" si="6"/>
        <v>5.6315016648398261E-2</v>
      </c>
    </row>
    <row r="20" spans="1:18" s="43" customFormat="1" x14ac:dyDescent="0.3">
      <c r="A20" s="40" t="s">
        <v>86</v>
      </c>
      <c r="B20" s="41">
        <f t="shared" ref="B20:H20" si="7">SUM(B5:B19)</f>
        <v>69903</v>
      </c>
      <c r="C20" s="41">
        <f t="shared" si="7"/>
        <v>73176</v>
      </c>
      <c r="D20" s="41">
        <f t="shared" si="7"/>
        <v>76188</v>
      </c>
      <c r="E20" s="41">
        <f t="shared" si="7"/>
        <v>79887</v>
      </c>
      <c r="F20" s="41">
        <f t="shared" si="7"/>
        <v>82800</v>
      </c>
      <c r="G20" s="41">
        <f t="shared" si="7"/>
        <v>85321</v>
      </c>
      <c r="H20" s="41">
        <f t="shared" si="7"/>
        <v>87840</v>
      </c>
      <c r="J20" s="54"/>
      <c r="K20" s="42">
        <f t="shared" si="0"/>
        <v>2.8897932253586455E-2</v>
      </c>
      <c r="L20" s="42">
        <f t="shared" si="1"/>
        <v>2.8636625655639653E-2</v>
      </c>
      <c r="M20" s="42">
        <f t="shared" si="2"/>
        <v>2.8459334282874303E-2</v>
      </c>
      <c r="N20" s="42">
        <f t="shared" si="3"/>
        <v>2.825619915974531E-2</v>
      </c>
      <c r="O20" s="42">
        <f t="shared" si="4"/>
        <v>2.81197180013401E-2</v>
      </c>
      <c r="P20" s="42">
        <f t="shared" si="5"/>
        <v>2.8015910959569824E-2</v>
      </c>
      <c r="Q20" s="42">
        <f t="shared" si="6"/>
        <v>2.7917043412210209E-2</v>
      </c>
    </row>
    <row r="22" spans="1:18" s="9" customFormat="1" ht="26.25" customHeight="1" x14ac:dyDescent="0.3">
      <c r="A22" s="90" t="s">
        <v>66</v>
      </c>
      <c r="B22" s="90"/>
      <c r="C22" s="90"/>
      <c r="D22" s="90"/>
      <c r="E22" s="90"/>
      <c r="F22" s="90"/>
      <c r="G22" s="90"/>
      <c r="H22" s="90"/>
      <c r="I22" s="90"/>
      <c r="J22" s="90"/>
      <c r="K22" s="90"/>
      <c r="L22" s="90"/>
      <c r="M22" s="90"/>
      <c r="N22" s="90"/>
      <c r="O22" s="90"/>
      <c r="P22" s="90"/>
      <c r="Q22" s="90"/>
    </row>
    <row r="23" spans="1:18" s="9" customFormat="1" ht="15.75" customHeight="1" x14ac:dyDescent="0.3">
      <c r="A23" s="10"/>
      <c r="B23" s="18" t="s">
        <v>60</v>
      </c>
      <c r="C23" s="93" t="s">
        <v>61</v>
      </c>
      <c r="D23" s="93"/>
      <c r="E23" s="93"/>
      <c r="F23" s="93"/>
      <c r="G23" s="93"/>
      <c r="H23" s="93"/>
      <c r="I23" s="51"/>
      <c r="J23" s="93" t="s">
        <v>62</v>
      </c>
      <c r="K23" s="93"/>
      <c r="L23" s="93"/>
      <c r="M23" s="93"/>
      <c r="N23" s="93"/>
      <c r="O23" s="93"/>
      <c r="P23" s="93"/>
      <c r="Q23" s="93"/>
      <c r="R23" s="51"/>
    </row>
    <row r="24" spans="1:18" x14ac:dyDescent="0.3">
      <c r="A24" s="48" t="s">
        <v>0</v>
      </c>
      <c r="B24" s="4">
        <v>2020</v>
      </c>
      <c r="C24" s="4">
        <v>2025</v>
      </c>
      <c r="D24" s="4">
        <v>2030</v>
      </c>
      <c r="E24" s="4">
        <v>2035</v>
      </c>
      <c r="F24" s="4">
        <v>2040</v>
      </c>
      <c r="G24" s="4">
        <v>2045</v>
      </c>
      <c r="H24" s="4">
        <v>2050</v>
      </c>
      <c r="K24" s="4">
        <v>2020</v>
      </c>
      <c r="L24" s="4">
        <v>2025</v>
      </c>
      <c r="M24" s="4">
        <v>2030</v>
      </c>
      <c r="N24" s="4">
        <v>2035</v>
      </c>
      <c r="O24" s="4">
        <v>2040</v>
      </c>
      <c r="P24" s="4">
        <v>2045</v>
      </c>
      <c r="Q24" s="4">
        <v>2050</v>
      </c>
    </row>
    <row r="25" spans="1:18" s="7" customFormat="1" x14ac:dyDescent="0.3">
      <c r="A25" s="36" t="s">
        <v>18</v>
      </c>
      <c r="B25" s="63">
        <v>211317.00000000003</v>
      </c>
      <c r="C25" s="63">
        <v>243759.00000000003</v>
      </c>
      <c r="D25" s="63">
        <v>273829</v>
      </c>
      <c r="E25" s="63">
        <v>306777.99999999994</v>
      </c>
      <c r="F25" s="63">
        <v>336449.99999999988</v>
      </c>
      <c r="G25" s="63">
        <v>364470</v>
      </c>
      <c r="H25" s="63">
        <v>392486.00000000017</v>
      </c>
      <c r="J25" s="52">
        <v>335024.15863690129</v>
      </c>
      <c r="K25" s="38">
        <f t="shared" ref="K25:K40" si="8">B25/(B25+B5)</f>
        <v>0.98720428299136675</v>
      </c>
      <c r="L25" s="38">
        <f t="shared" ref="L25:L40" si="9">C25/(C25+C5)</f>
        <v>0.987202280909934</v>
      </c>
      <c r="M25" s="38">
        <f t="shared" ref="M25:M40" si="10">D25/(D25+D5)</f>
        <v>0.9872051857032641</v>
      </c>
      <c r="N25" s="38">
        <f t="shared" ref="N25:N40" si="11">E25/(E25+E5)</f>
        <v>0.98720531352774221</v>
      </c>
      <c r="O25" s="38">
        <f t="shared" ref="O25:O40" si="12">F25/(F25+F5)</f>
        <v>0.98720405151242185</v>
      </c>
      <c r="P25" s="38">
        <f t="shared" ref="P25:P40" si="13">G25/(G25+G5)</f>
        <v>0.98720455912067906</v>
      </c>
      <c r="Q25" s="38">
        <f t="shared" ref="Q25:Q40" si="14">H25/(H25+H5)</f>
        <v>0.98720486552155207</v>
      </c>
    </row>
    <row r="26" spans="1:18" s="7" customFormat="1" x14ac:dyDescent="0.3">
      <c r="A26" s="36" t="s">
        <v>19</v>
      </c>
      <c r="B26" s="63">
        <v>155787</v>
      </c>
      <c r="C26" s="63">
        <v>165824.00000000003</v>
      </c>
      <c r="D26" s="63">
        <v>174891.99999999994</v>
      </c>
      <c r="E26" s="63">
        <v>185064</v>
      </c>
      <c r="F26" s="63">
        <v>194007</v>
      </c>
      <c r="G26" s="63">
        <v>202333</v>
      </c>
      <c r="H26" s="63">
        <v>210652.99999999994</v>
      </c>
      <c r="J26" s="52">
        <v>215587.20684493385</v>
      </c>
      <c r="K26" s="38">
        <f t="shared" si="8"/>
        <v>0.98052013443939523</v>
      </c>
      <c r="L26" s="38">
        <f t="shared" si="9"/>
        <v>0.9805166776057096</v>
      </c>
      <c r="M26" s="38">
        <f t="shared" si="10"/>
        <v>0.98051769665913535</v>
      </c>
      <c r="N26" s="38">
        <f t="shared" si="11"/>
        <v>0.9805182763681447</v>
      </c>
      <c r="O26" s="38">
        <f t="shared" si="12"/>
        <v>0.98051672377717802</v>
      </c>
      <c r="P26" s="38">
        <f t="shared" si="13"/>
        <v>0.98051881969246868</v>
      </c>
      <c r="Q26" s="38">
        <f t="shared" si="14"/>
        <v>0.98052020592260214</v>
      </c>
    </row>
    <row r="27" spans="1:18" s="7" customFormat="1" x14ac:dyDescent="0.3">
      <c r="A27" s="36" t="s">
        <v>44</v>
      </c>
      <c r="B27" s="63">
        <v>28616.999999999996</v>
      </c>
      <c r="C27" s="63">
        <v>29063.000000000004</v>
      </c>
      <c r="D27" s="63">
        <v>29631.000000000004</v>
      </c>
      <c r="E27" s="63">
        <v>30244.000000000007</v>
      </c>
      <c r="F27" s="63">
        <v>30827</v>
      </c>
      <c r="G27" s="63">
        <v>31396.999999999996</v>
      </c>
      <c r="H27" s="63">
        <v>31968.000000000011</v>
      </c>
      <c r="J27" s="52">
        <v>31149.92038674096</v>
      </c>
      <c r="K27" s="38">
        <f t="shared" si="8"/>
        <v>0.9889414935895221</v>
      </c>
      <c r="L27" s="38">
        <f t="shared" si="9"/>
        <v>0.98890741433869811</v>
      </c>
      <c r="M27" s="38">
        <f t="shared" si="10"/>
        <v>0.9889196675900277</v>
      </c>
      <c r="N27" s="38">
        <f t="shared" si="11"/>
        <v>0.98891541052218557</v>
      </c>
      <c r="O27" s="38">
        <f t="shared" si="12"/>
        <v>0.98893237520852051</v>
      </c>
      <c r="P27" s="38">
        <f t="shared" si="13"/>
        <v>0.98891303663107499</v>
      </c>
      <c r="Q27" s="38">
        <f t="shared" si="14"/>
        <v>0.98892532326919513</v>
      </c>
    </row>
    <row r="28" spans="1:18" s="7" customFormat="1" x14ac:dyDescent="0.3">
      <c r="A28" s="36" t="s">
        <v>20</v>
      </c>
      <c r="B28" s="63">
        <v>1294211</v>
      </c>
      <c r="C28" s="63">
        <v>1359097.9999999998</v>
      </c>
      <c r="D28" s="63">
        <v>1414771.0000000005</v>
      </c>
      <c r="E28" s="63">
        <v>1485774.9999999995</v>
      </c>
      <c r="F28" s="63">
        <v>1539205</v>
      </c>
      <c r="G28" s="63">
        <v>1583745</v>
      </c>
      <c r="H28" s="63">
        <v>1628365.9999999998</v>
      </c>
      <c r="J28" s="52">
        <v>1647056.4981361437</v>
      </c>
      <c r="K28" s="38">
        <f t="shared" si="8"/>
        <v>0.97774962358243755</v>
      </c>
      <c r="L28" s="38">
        <f t="shared" si="9"/>
        <v>0.97775005647376378</v>
      </c>
      <c r="M28" s="38">
        <f t="shared" si="10"/>
        <v>0.97774999550784192</v>
      </c>
      <c r="N28" s="38">
        <f t="shared" si="11"/>
        <v>0.97774793052595144</v>
      </c>
      <c r="O28" s="38">
        <f t="shared" si="12"/>
        <v>0.97774730091295081</v>
      </c>
      <c r="P28" s="38">
        <f t="shared" si="13"/>
        <v>0.97774590811659767</v>
      </c>
      <c r="Q28" s="38">
        <f t="shared" si="14"/>
        <v>0.97774508685444594</v>
      </c>
    </row>
    <row r="29" spans="1:18" s="7" customFormat="1" x14ac:dyDescent="0.3">
      <c r="A29" s="36" t="s">
        <v>45</v>
      </c>
      <c r="B29" s="63">
        <v>27573.000000000004</v>
      </c>
      <c r="C29" s="63">
        <v>27475.000000000011</v>
      </c>
      <c r="D29" s="63">
        <v>27266</v>
      </c>
      <c r="E29" s="63">
        <v>27131</v>
      </c>
      <c r="F29" s="63">
        <v>26933.000000000004</v>
      </c>
      <c r="G29" s="63">
        <v>26700.999999999996</v>
      </c>
      <c r="H29" s="63">
        <v>26471.999999999993</v>
      </c>
      <c r="J29" s="52">
        <v>22835.650610084431</v>
      </c>
      <c r="K29" s="38">
        <f t="shared" si="8"/>
        <v>0.98324002424847556</v>
      </c>
      <c r="L29" s="38">
        <f t="shared" si="9"/>
        <v>0.9832516193679991</v>
      </c>
      <c r="M29" s="38">
        <f t="shared" si="10"/>
        <v>0.98323176228769249</v>
      </c>
      <c r="N29" s="38">
        <f t="shared" si="11"/>
        <v>0.98322099007030517</v>
      </c>
      <c r="O29" s="38">
        <f t="shared" si="12"/>
        <v>0.98324328271028039</v>
      </c>
      <c r="P29" s="38">
        <f t="shared" si="13"/>
        <v>0.98324495507438503</v>
      </c>
      <c r="Q29" s="38">
        <f t="shared" si="14"/>
        <v>0.98324852356721015</v>
      </c>
    </row>
    <row r="30" spans="1:18" s="7" customFormat="1" x14ac:dyDescent="0.3">
      <c r="A30" s="36" t="s">
        <v>46</v>
      </c>
      <c r="B30" s="63">
        <v>59015.000000000007</v>
      </c>
      <c r="C30" s="63">
        <v>60429.000000000015</v>
      </c>
      <c r="D30" s="63">
        <v>61576.999999999985</v>
      </c>
      <c r="E30" s="63">
        <v>63174</v>
      </c>
      <c r="F30" s="63">
        <v>64214.000000000015</v>
      </c>
      <c r="G30" s="63">
        <v>64977.000000000029</v>
      </c>
      <c r="H30" s="63">
        <v>65744</v>
      </c>
      <c r="J30" s="52">
        <v>73588.472672209042</v>
      </c>
      <c r="K30" s="38">
        <f t="shared" si="8"/>
        <v>0.93998375356386288</v>
      </c>
      <c r="L30" s="38">
        <f t="shared" si="9"/>
        <v>0.94003173417957808</v>
      </c>
      <c r="M30" s="38">
        <f t="shared" si="10"/>
        <v>0.94006381387112037</v>
      </c>
      <c r="N30" s="38">
        <f t="shared" si="11"/>
        <v>0.94008928571428574</v>
      </c>
      <c r="O30" s="38">
        <f t="shared" si="12"/>
        <v>0.94007934765104606</v>
      </c>
      <c r="P30" s="38">
        <f t="shared" si="13"/>
        <v>0.94006076388888893</v>
      </c>
      <c r="Q30" s="38">
        <f t="shared" si="14"/>
        <v>0.94004604143729353</v>
      </c>
    </row>
    <row r="31" spans="1:18" s="7" customFormat="1" x14ac:dyDescent="0.3">
      <c r="A31" s="36" t="s">
        <v>21</v>
      </c>
      <c r="B31" s="63">
        <v>174466.00000000003</v>
      </c>
      <c r="C31" s="63">
        <v>186595</v>
      </c>
      <c r="D31" s="63">
        <v>196178.99999999994</v>
      </c>
      <c r="E31" s="63">
        <v>212063.00000000006</v>
      </c>
      <c r="F31" s="63">
        <v>220725</v>
      </c>
      <c r="G31" s="63">
        <v>225763.99999999997</v>
      </c>
      <c r="H31" s="63">
        <v>230811.99999999994</v>
      </c>
      <c r="J31" s="52">
        <v>227620.98907544417</v>
      </c>
      <c r="K31" s="38">
        <f t="shared" si="8"/>
        <v>0.97743889116099791</v>
      </c>
      <c r="L31" s="38">
        <f t="shared" si="9"/>
        <v>0.9774386858178542</v>
      </c>
      <c r="M31" s="38">
        <f t="shared" si="10"/>
        <v>0.97743975048204601</v>
      </c>
      <c r="N31" s="38">
        <f t="shared" si="11"/>
        <v>0.97743802948036029</v>
      </c>
      <c r="O31" s="38">
        <f t="shared" si="12"/>
        <v>0.9774377823044903</v>
      </c>
      <c r="P31" s="38">
        <f t="shared" si="13"/>
        <v>0.977434885009698</v>
      </c>
      <c r="Q31" s="38">
        <f t="shared" si="14"/>
        <v>0.97743297436700949</v>
      </c>
    </row>
    <row r="32" spans="1:18" s="7" customFormat="1" x14ac:dyDescent="0.3">
      <c r="A32" s="36" t="s">
        <v>47</v>
      </c>
      <c r="B32" s="63">
        <v>45646.000000000007</v>
      </c>
      <c r="C32" s="63">
        <v>45560.999999999993</v>
      </c>
      <c r="D32" s="63">
        <v>45846</v>
      </c>
      <c r="E32" s="63">
        <v>46191.999999999993</v>
      </c>
      <c r="F32" s="63">
        <v>46484.000000000007</v>
      </c>
      <c r="G32" s="63">
        <v>46762.000000000015</v>
      </c>
      <c r="H32" s="63">
        <v>47042.000000000007</v>
      </c>
      <c r="J32" s="52">
        <v>50681.027508493498</v>
      </c>
      <c r="K32" s="38">
        <f t="shared" si="8"/>
        <v>0.98937922663429856</v>
      </c>
      <c r="L32" s="38">
        <f t="shared" si="9"/>
        <v>0.9893811074918567</v>
      </c>
      <c r="M32" s="38">
        <f t="shared" si="10"/>
        <v>0.98936101340123872</v>
      </c>
      <c r="N32" s="38">
        <f t="shared" si="11"/>
        <v>0.9893762851267992</v>
      </c>
      <c r="O32" s="38">
        <f t="shared" si="12"/>
        <v>0.98935807934616038</v>
      </c>
      <c r="P32" s="38">
        <f t="shared" si="13"/>
        <v>0.98935787580662227</v>
      </c>
      <c r="Q32" s="38">
        <f t="shared" si="14"/>
        <v>0.98937893032157653</v>
      </c>
    </row>
    <row r="33" spans="1:17" s="7" customFormat="1" x14ac:dyDescent="0.3">
      <c r="A33" s="36" t="s">
        <v>22</v>
      </c>
      <c r="B33" s="63">
        <v>38613.000000000015</v>
      </c>
      <c r="C33" s="63">
        <v>41016.999999999985</v>
      </c>
      <c r="D33" s="63">
        <v>43151.000000000007</v>
      </c>
      <c r="E33" s="63">
        <v>45460.999999999993</v>
      </c>
      <c r="F33" s="63">
        <v>47479.999999999985</v>
      </c>
      <c r="G33" s="63">
        <v>49379.000000000007</v>
      </c>
      <c r="H33" s="63">
        <v>51290</v>
      </c>
      <c r="J33" s="52">
        <v>46454.032961398858</v>
      </c>
      <c r="K33" s="38">
        <f t="shared" si="8"/>
        <v>0.88073080607636511</v>
      </c>
      <c r="L33" s="38">
        <f t="shared" si="9"/>
        <v>0.88087363628554249</v>
      </c>
      <c r="M33" s="38">
        <f t="shared" si="10"/>
        <v>0.88102821675037779</v>
      </c>
      <c r="N33" s="38">
        <f t="shared" si="11"/>
        <v>0.88109543375455457</v>
      </c>
      <c r="O33" s="38">
        <f t="shared" si="12"/>
        <v>0.88103765007144041</v>
      </c>
      <c r="P33" s="38">
        <f t="shared" si="13"/>
        <v>0.88098126672613741</v>
      </c>
      <c r="Q33" s="38">
        <f t="shared" si="14"/>
        <v>0.88095360780474397</v>
      </c>
    </row>
    <row r="34" spans="1:17" s="7" customFormat="1" x14ac:dyDescent="0.3">
      <c r="A34" s="36" t="s">
        <v>48</v>
      </c>
      <c r="B34" s="63">
        <v>59737.000000000015</v>
      </c>
      <c r="C34" s="63">
        <v>59778.999999999993</v>
      </c>
      <c r="D34" s="63">
        <v>59667.999999999985</v>
      </c>
      <c r="E34" s="63">
        <v>59685.999999999978</v>
      </c>
      <c r="F34" s="63">
        <v>59449.000000000007</v>
      </c>
      <c r="G34" s="63">
        <v>59128</v>
      </c>
      <c r="H34" s="63">
        <v>58832.000000000015</v>
      </c>
      <c r="J34" s="52">
        <v>52417.469298931137</v>
      </c>
      <c r="K34" s="38">
        <f t="shared" si="8"/>
        <v>0.91335392330744303</v>
      </c>
      <c r="L34" s="38">
        <f t="shared" si="9"/>
        <v>0.91346535863818346</v>
      </c>
      <c r="M34" s="38">
        <f t="shared" si="10"/>
        <v>0.91350010716800878</v>
      </c>
      <c r="N34" s="38">
        <f t="shared" si="11"/>
        <v>0.91341209598432904</v>
      </c>
      <c r="O34" s="38">
        <f t="shared" si="12"/>
        <v>0.91333538177907514</v>
      </c>
      <c r="P34" s="38">
        <f t="shared" si="13"/>
        <v>0.9133006904434593</v>
      </c>
      <c r="Q34" s="38">
        <f t="shared" si="14"/>
        <v>0.91329928435040442</v>
      </c>
    </row>
    <row r="35" spans="1:17" s="7" customFormat="1" x14ac:dyDescent="0.3">
      <c r="A35" s="36" t="s">
        <v>49</v>
      </c>
      <c r="B35" s="63">
        <v>34666.999999999993</v>
      </c>
      <c r="C35" s="63">
        <v>36106</v>
      </c>
      <c r="D35" s="63">
        <v>37320.000000000007</v>
      </c>
      <c r="E35" s="63">
        <v>38968.999999999993</v>
      </c>
      <c r="F35" s="63">
        <v>40134.000000000007</v>
      </c>
      <c r="G35" s="63">
        <v>41059.999999999993</v>
      </c>
      <c r="H35" s="63">
        <v>41984.999999999993</v>
      </c>
      <c r="J35" s="52">
        <v>42771.172565166744</v>
      </c>
      <c r="K35" s="38">
        <f t="shared" si="8"/>
        <v>0.99212981512220255</v>
      </c>
      <c r="L35" s="38">
        <f t="shared" si="9"/>
        <v>0.99214112991866343</v>
      </c>
      <c r="M35" s="38">
        <f t="shared" si="10"/>
        <v>0.99213100808166743</v>
      </c>
      <c r="N35" s="38">
        <f t="shared" si="11"/>
        <v>0.99213300066194821</v>
      </c>
      <c r="O35" s="38">
        <f t="shared" si="12"/>
        <v>0.99211430549032209</v>
      </c>
      <c r="P35" s="38">
        <f t="shared" si="13"/>
        <v>0.99212294012467983</v>
      </c>
      <c r="Q35" s="38">
        <f t="shared" si="14"/>
        <v>0.99213100808166732</v>
      </c>
    </row>
    <row r="36" spans="1:17" s="7" customFormat="1" x14ac:dyDescent="0.3">
      <c r="A36" s="36" t="s">
        <v>50</v>
      </c>
      <c r="B36" s="63">
        <v>35061</v>
      </c>
      <c r="C36" s="63">
        <v>36475.999999999993</v>
      </c>
      <c r="D36" s="63">
        <v>37008.999999999993</v>
      </c>
      <c r="E36" s="63">
        <v>37707.999999999985</v>
      </c>
      <c r="F36" s="63">
        <v>38234.999999999985</v>
      </c>
      <c r="G36" s="63">
        <v>38673.999999999993</v>
      </c>
      <c r="H36" s="63">
        <v>39114.000000000007</v>
      </c>
      <c r="J36" s="52">
        <v>36375.546298834684</v>
      </c>
      <c r="K36" s="38">
        <f t="shared" si="8"/>
        <v>0.99045170767535806</v>
      </c>
      <c r="L36" s="38">
        <f t="shared" si="9"/>
        <v>0.99044205495818394</v>
      </c>
      <c r="M36" s="38">
        <f t="shared" si="10"/>
        <v>0.9904193539754329</v>
      </c>
      <c r="N36" s="38">
        <f t="shared" si="11"/>
        <v>0.99041315367845983</v>
      </c>
      <c r="O36" s="38">
        <f t="shared" si="12"/>
        <v>0.99041574925527776</v>
      </c>
      <c r="P36" s="38">
        <f t="shared" si="13"/>
        <v>0.9904220446629789</v>
      </c>
      <c r="Q36" s="38">
        <f t="shared" si="14"/>
        <v>0.99042844120328166</v>
      </c>
    </row>
    <row r="37" spans="1:17" s="7" customFormat="1" x14ac:dyDescent="0.3">
      <c r="A37" s="36" t="s">
        <v>23</v>
      </c>
      <c r="B37" s="63">
        <v>53911.999999999985</v>
      </c>
      <c r="C37" s="63">
        <v>57442.999999999993</v>
      </c>
      <c r="D37" s="63">
        <v>60718.000000000007</v>
      </c>
      <c r="E37" s="63">
        <v>64246.000000000015</v>
      </c>
      <c r="F37" s="63">
        <v>67443</v>
      </c>
      <c r="G37" s="63">
        <v>70505</v>
      </c>
      <c r="H37" s="63">
        <v>73568</v>
      </c>
      <c r="J37" s="52">
        <v>66153.371879283761</v>
      </c>
      <c r="K37" s="38">
        <f t="shared" si="8"/>
        <v>0.92089575184052741</v>
      </c>
      <c r="L37" s="38">
        <f t="shared" si="9"/>
        <v>0.92092985971943886</v>
      </c>
      <c r="M37" s="38">
        <f t="shared" si="10"/>
        <v>0.92094645836493261</v>
      </c>
      <c r="N37" s="38">
        <f t="shared" si="11"/>
        <v>0.92094436719657113</v>
      </c>
      <c r="O37" s="38">
        <f t="shared" si="12"/>
        <v>0.92092470710325802</v>
      </c>
      <c r="P37" s="38">
        <f t="shared" si="13"/>
        <v>0.92091170323928939</v>
      </c>
      <c r="Q37" s="38">
        <f t="shared" si="14"/>
        <v>0.92091230002753921</v>
      </c>
    </row>
    <row r="38" spans="1:17" s="7" customFormat="1" x14ac:dyDescent="0.3">
      <c r="A38" s="36" t="s">
        <v>51</v>
      </c>
      <c r="B38" s="63">
        <v>71260</v>
      </c>
      <c r="C38" s="63">
        <v>70886</v>
      </c>
      <c r="D38" s="63">
        <v>70572.999999999985</v>
      </c>
      <c r="E38" s="63">
        <v>70281.999999999971</v>
      </c>
      <c r="F38" s="63">
        <v>69874.000000000029</v>
      </c>
      <c r="G38" s="63">
        <v>69455</v>
      </c>
      <c r="H38" s="63">
        <v>69033</v>
      </c>
      <c r="J38" s="52">
        <v>62647.523488839135</v>
      </c>
      <c r="K38" s="38">
        <f t="shared" si="8"/>
        <v>0.92394263931748044</v>
      </c>
      <c r="L38" s="38">
        <f t="shared" si="9"/>
        <v>0.92402951221419816</v>
      </c>
      <c r="M38" s="38">
        <f t="shared" si="10"/>
        <v>0.92406903053475098</v>
      </c>
      <c r="N38" s="38">
        <f t="shared" si="11"/>
        <v>0.92408225518039333</v>
      </c>
      <c r="O38" s="38">
        <f t="shared" si="12"/>
        <v>0.92405146990756049</v>
      </c>
      <c r="P38" s="38">
        <f t="shared" si="13"/>
        <v>0.92403379232355487</v>
      </c>
      <c r="Q38" s="38">
        <f t="shared" si="14"/>
        <v>0.92401284968545039</v>
      </c>
    </row>
    <row r="39" spans="1:17" s="7" customFormat="1" x14ac:dyDescent="0.3">
      <c r="A39" s="36" t="s">
        <v>24</v>
      </c>
      <c r="B39" s="63">
        <v>59177</v>
      </c>
      <c r="C39" s="63">
        <v>62642</v>
      </c>
      <c r="D39" s="63">
        <v>68465</v>
      </c>
      <c r="E39" s="63">
        <v>74577.999999999956</v>
      </c>
      <c r="F39" s="63">
        <v>80292.999999999971</v>
      </c>
      <c r="G39" s="63">
        <v>85777.000000000015</v>
      </c>
      <c r="H39" s="63">
        <v>91259.999999999956</v>
      </c>
      <c r="J39" s="52">
        <v>89025.156403813264</v>
      </c>
      <c r="K39" s="38">
        <f t="shared" si="8"/>
        <v>0.94361615613987526</v>
      </c>
      <c r="L39" s="38">
        <f t="shared" si="9"/>
        <v>0.9436594257479437</v>
      </c>
      <c r="M39" s="38">
        <f t="shared" si="10"/>
        <v>0.94372001984892762</v>
      </c>
      <c r="N39" s="38">
        <f t="shared" si="11"/>
        <v>0.94375055363628313</v>
      </c>
      <c r="O39" s="38">
        <f t="shared" si="12"/>
        <v>0.94374640040433011</v>
      </c>
      <c r="P39" s="38">
        <f t="shared" si="13"/>
        <v>0.94371403738461712</v>
      </c>
      <c r="Q39" s="38">
        <f t="shared" si="14"/>
        <v>0.94368498335160178</v>
      </c>
    </row>
    <row r="40" spans="1:17" s="43" customFormat="1" x14ac:dyDescent="0.3">
      <c r="A40" s="40" t="s">
        <v>86</v>
      </c>
      <c r="B40" s="41">
        <f t="shared" ref="B40" si="15">SUM(B25:B39)</f>
        <v>2349059</v>
      </c>
      <c r="C40" s="41">
        <f t="shared" ref="C40" si="16">SUM(C25:C39)</f>
        <v>2482152.9999999995</v>
      </c>
      <c r="D40" s="41">
        <f t="shared" ref="D40" si="17">SUM(D25:D39)</f>
        <v>2600895.0000000005</v>
      </c>
      <c r="E40" s="41">
        <f t="shared" ref="E40" si="18">SUM(E25:E39)</f>
        <v>2747350.9999999995</v>
      </c>
      <c r="F40" s="41">
        <f t="shared" ref="F40" si="19">SUM(F25:F39)</f>
        <v>2861753</v>
      </c>
      <c r="G40" s="41">
        <f t="shared" ref="G40" si="20">SUM(G25:G39)</f>
        <v>2960127</v>
      </c>
      <c r="H40" s="41">
        <f t="shared" ref="H40" si="21">SUM(H25:H39)</f>
        <v>3058625</v>
      </c>
      <c r="J40" s="54"/>
      <c r="K40" s="42">
        <f t="shared" si="8"/>
        <v>0.9711020677464135</v>
      </c>
      <c r="L40" s="42">
        <f t="shared" si="9"/>
        <v>0.97136337434436038</v>
      </c>
      <c r="M40" s="42">
        <f t="shared" si="10"/>
        <v>0.97154066571712572</v>
      </c>
      <c r="N40" s="42">
        <f t="shared" si="11"/>
        <v>0.97174380084025469</v>
      </c>
      <c r="O40" s="42">
        <f t="shared" si="12"/>
        <v>0.97188028199865995</v>
      </c>
      <c r="P40" s="42">
        <f t="shared" si="13"/>
        <v>0.97198408904043021</v>
      </c>
      <c r="Q40" s="42">
        <f t="shared" si="14"/>
        <v>0.97208295658778976</v>
      </c>
    </row>
    <row r="43" spans="1:17" x14ac:dyDescent="0.3">
      <c r="A43" s="21">
        <v>1</v>
      </c>
      <c r="B43" s="22" t="s">
        <v>74</v>
      </c>
    </row>
    <row r="44" spans="1:17" x14ac:dyDescent="0.3">
      <c r="A44" s="21">
        <v>2</v>
      </c>
      <c r="B44" s="22" t="s">
        <v>131</v>
      </c>
    </row>
    <row r="46" spans="1:17" x14ac:dyDescent="0.3">
      <c r="B46" s="50" t="s">
        <v>144</v>
      </c>
    </row>
  </sheetData>
  <mergeCells count="7">
    <mergeCell ref="C23:H23"/>
    <mergeCell ref="J23:Q23"/>
    <mergeCell ref="C1:R1"/>
    <mergeCell ref="A2:R2"/>
    <mergeCell ref="A22:Q22"/>
    <mergeCell ref="K3:Q3"/>
    <mergeCell ref="C3:H3"/>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DF7F9-C1B1-4656-A151-A57982B3D13F}">
  <dimension ref="A1:R63"/>
  <sheetViews>
    <sheetView workbookViewId="0"/>
  </sheetViews>
  <sheetFormatPr defaultRowHeight="14.4" x14ac:dyDescent="0.3"/>
  <cols>
    <col min="1" max="1" width="20.109375" customWidth="1"/>
    <col min="2" max="2" width="10.6640625" customWidth="1"/>
    <col min="3" max="3" width="11.33203125" bestFit="1" customWidth="1"/>
    <col min="4" max="4" width="11.109375" customWidth="1"/>
    <col min="5" max="5" width="11.33203125" bestFit="1" customWidth="1"/>
    <col min="6" max="6" width="10.6640625" customWidth="1"/>
    <col min="7" max="7" width="11.33203125" customWidth="1"/>
    <col min="8" max="8" width="10.33203125" customWidth="1"/>
    <col min="9" max="9" width="11.33203125" customWidth="1"/>
    <col min="10" max="10" width="2.33203125" customWidth="1"/>
    <col min="11" max="11" width="11.33203125" bestFit="1" customWidth="1"/>
    <col min="12" max="12" width="10.44140625" customWidth="1"/>
    <col min="13" max="13" width="11.33203125" bestFit="1" customWidth="1"/>
    <col min="14" max="14" width="10.88671875" customWidth="1"/>
    <col min="15" max="15" width="11.33203125" bestFit="1" customWidth="1"/>
    <col min="16" max="16" width="10.88671875" customWidth="1"/>
    <col min="17" max="17" width="11.33203125" bestFit="1" customWidth="1"/>
  </cols>
  <sheetData>
    <row r="1" spans="1:18" ht="65.25" customHeight="1" x14ac:dyDescent="0.4">
      <c r="C1" s="88" t="s">
        <v>92</v>
      </c>
      <c r="D1" s="88"/>
      <c r="E1" s="88"/>
      <c r="F1" s="88"/>
      <c r="G1" s="88"/>
      <c r="H1" s="88"/>
      <c r="I1" s="88"/>
      <c r="J1" s="88"/>
      <c r="K1" s="88"/>
      <c r="L1" s="88"/>
      <c r="M1" s="88"/>
      <c r="N1" s="88"/>
      <c r="O1" s="88"/>
      <c r="P1" s="88"/>
      <c r="Q1" s="88"/>
      <c r="R1" s="88"/>
    </row>
    <row r="2" spans="1:18" s="9" customFormat="1" ht="26.25" customHeight="1" x14ac:dyDescent="0.3">
      <c r="A2" s="90" t="s">
        <v>93</v>
      </c>
      <c r="B2" s="90"/>
      <c r="C2" s="90"/>
      <c r="D2" s="90"/>
      <c r="E2" s="90"/>
      <c r="F2" s="90"/>
      <c r="G2" s="90"/>
      <c r="H2" s="90"/>
      <c r="I2" s="90"/>
      <c r="J2" s="90"/>
      <c r="K2" s="90"/>
      <c r="L2" s="90"/>
      <c r="M2" s="90"/>
      <c r="N2" s="90"/>
      <c r="O2" s="90"/>
      <c r="P2" s="90"/>
      <c r="Q2" s="90"/>
      <c r="R2" s="90"/>
    </row>
    <row r="3" spans="1:18" s="9" customFormat="1" ht="15.75" customHeight="1" x14ac:dyDescent="0.3">
      <c r="A3" s="10"/>
      <c r="B3" s="18" t="s">
        <v>60</v>
      </c>
      <c r="C3" s="93" t="s">
        <v>61</v>
      </c>
      <c r="D3" s="93"/>
      <c r="E3" s="93"/>
      <c r="F3" s="93"/>
      <c r="G3" s="93"/>
      <c r="H3" s="93"/>
      <c r="I3" s="51"/>
      <c r="J3" s="10"/>
      <c r="L3" s="93" t="s">
        <v>94</v>
      </c>
      <c r="M3" s="93"/>
      <c r="N3" s="93"/>
      <c r="O3" s="93"/>
      <c r="P3" s="93"/>
      <c r="Q3" s="93"/>
      <c r="R3" s="93"/>
    </row>
    <row r="4" spans="1:18" x14ac:dyDescent="0.3">
      <c r="A4" s="48" t="s">
        <v>0</v>
      </c>
      <c r="B4" s="4">
        <v>2020</v>
      </c>
      <c r="C4" s="4">
        <v>2025</v>
      </c>
      <c r="D4" s="4">
        <v>2030</v>
      </c>
      <c r="E4" s="4">
        <v>2035</v>
      </c>
      <c r="F4" s="4">
        <v>2040</v>
      </c>
      <c r="G4" s="4">
        <v>2045</v>
      </c>
      <c r="H4" s="4">
        <v>2050</v>
      </c>
      <c r="K4" s="4"/>
      <c r="L4" s="4">
        <v>2020</v>
      </c>
      <c r="M4" s="4">
        <v>2025</v>
      </c>
      <c r="N4" s="4">
        <v>2030</v>
      </c>
      <c r="O4" s="4">
        <v>2035</v>
      </c>
      <c r="P4" s="4">
        <v>2040</v>
      </c>
      <c r="Q4" s="4">
        <v>2045</v>
      </c>
      <c r="R4" s="4">
        <v>2050</v>
      </c>
    </row>
    <row r="5" spans="1:18" s="13" customFormat="1" x14ac:dyDescent="0.3">
      <c r="A5" s="28" t="s">
        <v>18</v>
      </c>
      <c r="B5" s="29">
        <v>53459.583726832556</v>
      </c>
      <c r="C5" s="29">
        <v>57802.211467654452</v>
      </c>
      <c r="D5" s="29">
        <v>62488.39684578064</v>
      </c>
      <c r="E5" s="29">
        <v>68429.155709672006</v>
      </c>
      <c r="F5" s="29">
        <v>74584.973531533033</v>
      </c>
      <c r="G5" s="29">
        <v>80292.681834548057</v>
      </c>
      <c r="H5" s="29">
        <v>85615.512780252422</v>
      </c>
      <c r="J5" s="29"/>
      <c r="K5" s="30"/>
      <c r="L5" s="30">
        <f t="shared" ref="L5:L20" si="0">B5/(B5+B25+B45)</f>
        <v>0.25298288224247245</v>
      </c>
      <c r="M5" s="30">
        <f t="shared" ref="M5:M20" si="1">C5/(C5+C25+C45)</f>
        <v>0.23670513920290934</v>
      </c>
      <c r="N5" s="30">
        <f t="shared" ref="N5:N20" si="2">D5/(D5+D25+D45)</f>
        <v>0.227522590255057</v>
      </c>
      <c r="O5" s="30">
        <f t="shared" ref="O5:O20" si="3">E5/(E5+E25+E45)</f>
        <v>0.22216753421081994</v>
      </c>
      <c r="P5" s="30">
        <f t="shared" ref="P5:P20" si="4">F5/(F5+F25+F45)</f>
        <v>0.22063949098193425</v>
      </c>
      <c r="Q5" s="30">
        <f t="shared" ref="Q5:Q20" si="5">G5/(G5+G25+G45)</f>
        <v>0.21913283671764236</v>
      </c>
      <c r="R5" s="30">
        <f t="shared" ref="R5:R20" si="6">H5/(H5+H25+H45)</f>
        <v>0.21686672403200838</v>
      </c>
    </row>
    <row r="6" spans="1:18" s="13" customFormat="1" x14ac:dyDescent="0.3">
      <c r="A6" s="28" t="s">
        <v>19</v>
      </c>
      <c r="B6" s="29">
        <v>37338.736271349422</v>
      </c>
      <c r="C6" s="29">
        <v>39868.978376774852</v>
      </c>
      <c r="D6" s="29">
        <v>42433.10632611662</v>
      </c>
      <c r="E6" s="29">
        <v>45292.283996553808</v>
      </c>
      <c r="F6" s="29">
        <v>47626.957096687824</v>
      </c>
      <c r="G6" s="29">
        <v>49682.842434346465</v>
      </c>
      <c r="H6" s="29">
        <v>51679.732864178513</v>
      </c>
      <c r="J6" s="29"/>
      <c r="K6" s="30"/>
      <c r="L6" s="30">
        <f t="shared" si="0"/>
        <v>0.23901686279013573</v>
      </c>
      <c r="M6" s="30">
        <f t="shared" si="1"/>
        <v>0.2394892829360255</v>
      </c>
      <c r="N6" s="30">
        <f t="shared" si="2"/>
        <v>0.24145938411091999</v>
      </c>
      <c r="O6" s="30">
        <f t="shared" si="3"/>
        <v>0.24337474810212631</v>
      </c>
      <c r="P6" s="30">
        <f t="shared" si="4"/>
        <v>0.24398430929887976</v>
      </c>
      <c r="Q6" s="30">
        <f t="shared" si="5"/>
        <v>0.24392956708094907</v>
      </c>
      <c r="R6" s="30">
        <f t="shared" si="6"/>
        <v>0.24360111461368439</v>
      </c>
    </row>
    <row r="7" spans="1:18" x14ac:dyDescent="0.3">
      <c r="A7" s="28" t="s">
        <v>44</v>
      </c>
      <c r="B7" s="29">
        <v>6616.6189019909652</v>
      </c>
      <c r="C7" s="29">
        <v>6617.3337001835789</v>
      </c>
      <c r="D7" s="29">
        <v>6510.3178215743965</v>
      </c>
      <c r="E7" s="29">
        <v>6616.8701074837281</v>
      </c>
      <c r="F7" s="29">
        <v>6856.0953628590414</v>
      </c>
      <c r="G7" s="29">
        <v>7091.3457547894677</v>
      </c>
      <c r="H7" s="29">
        <v>7290.1283260210548</v>
      </c>
      <c r="J7" s="29"/>
      <c r="K7" s="30"/>
      <c r="L7" s="30">
        <f t="shared" si="0"/>
        <v>0.25137219443776943</v>
      </c>
      <c r="M7" s="30">
        <f t="shared" si="1"/>
        <v>0.24700760359027912</v>
      </c>
      <c r="N7" s="30">
        <f t="shared" si="2"/>
        <v>0.23775903226843895</v>
      </c>
      <c r="O7" s="30">
        <f t="shared" si="3"/>
        <v>0.23627459766055087</v>
      </c>
      <c r="P7" s="30">
        <f t="shared" si="4"/>
        <v>0.23979907533346309</v>
      </c>
      <c r="Q7" s="30">
        <f t="shared" si="5"/>
        <v>0.24317910067519868</v>
      </c>
      <c r="R7" s="30">
        <f t="shared" si="6"/>
        <v>0.24520293047731501</v>
      </c>
    </row>
    <row r="8" spans="1:18" s="13" customFormat="1" x14ac:dyDescent="0.3">
      <c r="A8" s="28" t="s">
        <v>20</v>
      </c>
      <c r="B8" s="29">
        <v>309386.5209525972</v>
      </c>
      <c r="C8" s="29">
        <v>324447.43943582271</v>
      </c>
      <c r="D8" s="29">
        <v>335630.41319176171</v>
      </c>
      <c r="E8" s="29">
        <v>347855.69854237244</v>
      </c>
      <c r="F8" s="29">
        <v>359171.99877919804</v>
      </c>
      <c r="G8" s="29">
        <v>366068.57285475254</v>
      </c>
      <c r="H8" s="29">
        <v>375105.21344734944</v>
      </c>
      <c r="J8" s="29"/>
      <c r="K8" s="30"/>
      <c r="L8" s="30">
        <f t="shared" si="0"/>
        <v>0.23424335943582081</v>
      </c>
      <c r="M8" s="30">
        <f t="shared" si="1"/>
        <v>0.23390477303295151</v>
      </c>
      <c r="N8" s="30">
        <f t="shared" si="2"/>
        <v>0.23242443475757382</v>
      </c>
      <c r="O8" s="30">
        <f t="shared" si="3"/>
        <v>0.22933826826723225</v>
      </c>
      <c r="P8" s="30">
        <f t="shared" si="4"/>
        <v>0.22855768271989449</v>
      </c>
      <c r="Q8" s="30">
        <f t="shared" si="5"/>
        <v>0.22636719209146522</v>
      </c>
      <c r="R8" s="30">
        <f t="shared" si="6"/>
        <v>0.22558445374100516</v>
      </c>
    </row>
    <row r="9" spans="1:18" x14ac:dyDescent="0.3">
      <c r="A9" s="28" t="s">
        <v>45</v>
      </c>
      <c r="B9" s="29">
        <v>6007.1658223048462</v>
      </c>
      <c r="C9" s="29">
        <v>5895.6057442156743</v>
      </c>
      <c r="D9" s="29">
        <v>5871.4570470025728</v>
      </c>
      <c r="E9" s="29">
        <v>5798.3794252161033</v>
      </c>
      <c r="F9" s="29">
        <v>5758.1538971325135</v>
      </c>
      <c r="G9" s="29">
        <v>5674.326772685904</v>
      </c>
      <c r="H9" s="29">
        <v>5610.5867615641164</v>
      </c>
      <c r="J9" s="29"/>
      <c r="K9" s="30"/>
      <c r="L9" s="30">
        <f t="shared" si="0"/>
        <v>0.23630721931886414</v>
      </c>
      <c r="M9" s="30">
        <f t="shared" si="1"/>
        <v>0.23269678497851565</v>
      </c>
      <c r="N9" s="30">
        <f t="shared" si="2"/>
        <v>0.23361544769834772</v>
      </c>
      <c r="O9" s="30">
        <f t="shared" si="3"/>
        <v>0.23193517700864413</v>
      </c>
      <c r="P9" s="30">
        <f t="shared" si="4"/>
        <v>0.23219298750483941</v>
      </c>
      <c r="Q9" s="30">
        <f t="shared" si="5"/>
        <v>0.23102995695150461</v>
      </c>
      <c r="R9" s="30">
        <f t="shared" si="6"/>
        <v>0.23066053122694122</v>
      </c>
    </row>
    <row r="10" spans="1:18" x14ac:dyDescent="0.3">
      <c r="A10" s="28" t="s">
        <v>46</v>
      </c>
      <c r="B10" s="29">
        <v>14854.415922900182</v>
      </c>
      <c r="C10" s="29">
        <v>15203.266136525253</v>
      </c>
      <c r="D10" s="29">
        <v>15471.644154498597</v>
      </c>
      <c r="E10" s="29">
        <v>16053.808243659973</v>
      </c>
      <c r="F10" s="29">
        <v>16481.424573853037</v>
      </c>
      <c r="G10" s="29">
        <v>16768.684097150177</v>
      </c>
      <c r="H10" s="29">
        <v>17042.832716342447</v>
      </c>
      <c r="J10" s="29"/>
      <c r="K10" s="30"/>
      <c r="L10" s="30">
        <f t="shared" si="0"/>
        <v>0.24751172078480679</v>
      </c>
      <c r="M10" s="30">
        <f t="shared" si="1"/>
        <v>0.24741275100530927</v>
      </c>
      <c r="N10" s="30">
        <f t="shared" si="2"/>
        <v>0.24703642329429815</v>
      </c>
      <c r="O10" s="30">
        <f t="shared" si="3"/>
        <v>0.24967042369611156</v>
      </c>
      <c r="P10" s="30">
        <f t="shared" si="4"/>
        <v>0.25197102237965197</v>
      </c>
      <c r="Q10" s="30">
        <f t="shared" si="5"/>
        <v>0.25314660251430637</v>
      </c>
      <c r="R10" s="30">
        <f t="shared" si="6"/>
        <v>0.25409757747409423</v>
      </c>
    </row>
    <row r="11" spans="1:18" s="13" customFormat="1" x14ac:dyDescent="0.3">
      <c r="A11" s="28" t="s">
        <v>21</v>
      </c>
      <c r="B11" s="29">
        <v>41091.689665076068</v>
      </c>
      <c r="C11" s="29">
        <v>43785.054880020369</v>
      </c>
      <c r="D11" s="29">
        <v>45856.897357579212</v>
      </c>
      <c r="E11" s="29">
        <v>49464.022784910907</v>
      </c>
      <c r="F11" s="29">
        <v>51476.736870259097</v>
      </c>
      <c r="G11" s="29">
        <v>52202.186408954476</v>
      </c>
      <c r="H11" s="29">
        <v>52930.902274758904</v>
      </c>
      <c r="J11" s="29"/>
      <c r="K11" s="30"/>
      <c r="L11" s="30">
        <f t="shared" si="0"/>
        <v>0.23363082085861658</v>
      </c>
      <c r="M11" s="30">
        <f t="shared" si="1"/>
        <v>0.23255534305665224</v>
      </c>
      <c r="N11" s="30">
        <f t="shared" si="2"/>
        <v>0.23151513511472652</v>
      </c>
      <c r="O11" s="30">
        <f t="shared" si="3"/>
        <v>0.23079087169384158</v>
      </c>
      <c r="P11" s="30">
        <f t="shared" si="4"/>
        <v>0.23063570810394093</v>
      </c>
      <c r="Q11" s="30">
        <f t="shared" si="5"/>
        <v>0.22857699880004062</v>
      </c>
      <c r="R11" s="30">
        <f t="shared" si="6"/>
        <v>0.22662269131697915</v>
      </c>
    </row>
    <row r="12" spans="1:18" x14ac:dyDescent="0.3">
      <c r="A12" s="28" t="s">
        <v>47</v>
      </c>
      <c r="B12" s="29">
        <v>10295.89182630824</v>
      </c>
      <c r="C12" s="29">
        <v>10076.05936041166</v>
      </c>
      <c r="D12" s="29">
        <v>9945.7209696540285</v>
      </c>
      <c r="E12" s="29">
        <v>9964.2687036293737</v>
      </c>
      <c r="F12" s="29">
        <v>9955.3452563031678</v>
      </c>
      <c r="G12" s="29">
        <v>9877.5064022475126</v>
      </c>
      <c r="H12" s="29">
        <v>9771.3658346794327</v>
      </c>
      <c r="J12" s="29"/>
      <c r="K12" s="30"/>
      <c r="L12" s="30">
        <f t="shared" si="0"/>
        <v>0.23692136655333404</v>
      </c>
      <c r="M12" s="30">
        <f t="shared" si="1"/>
        <v>0.23215121904964317</v>
      </c>
      <c r="N12" s="30">
        <f t="shared" si="2"/>
        <v>0.22750757090433774</v>
      </c>
      <c r="O12" s="30">
        <f t="shared" si="3"/>
        <v>0.2260906857784846</v>
      </c>
      <c r="P12" s="30">
        <f t="shared" si="4"/>
        <v>0.22438626132718387</v>
      </c>
      <c r="Q12" s="30">
        <f t="shared" si="5"/>
        <v>0.22125047939807163</v>
      </c>
      <c r="R12" s="30">
        <f t="shared" si="6"/>
        <v>0.21752333729612947</v>
      </c>
    </row>
    <row r="13" spans="1:18" s="13" customFormat="1" x14ac:dyDescent="0.3">
      <c r="A13" s="28" t="s">
        <v>22</v>
      </c>
      <c r="B13" s="29">
        <v>8858.5687716613866</v>
      </c>
      <c r="C13" s="29">
        <v>8998.9675807862277</v>
      </c>
      <c r="D13" s="29">
        <v>9103.5586484847972</v>
      </c>
      <c r="E13" s="29">
        <v>9398.6890117466028</v>
      </c>
      <c r="F13" s="29">
        <v>9510.6772037751962</v>
      </c>
      <c r="G13" s="29">
        <v>9885.7182131393984</v>
      </c>
      <c r="H13" s="29">
        <v>10299.994395554731</v>
      </c>
      <c r="J13" s="29"/>
      <c r="K13" s="30"/>
      <c r="L13" s="30">
        <f t="shared" si="0"/>
        <v>0.21503990221292346</v>
      </c>
      <c r="M13" s="30">
        <f t="shared" si="1"/>
        <v>0.2051841757669349</v>
      </c>
      <c r="N13" s="30">
        <f t="shared" si="2"/>
        <v>0.19702966514771006</v>
      </c>
      <c r="O13" s="30">
        <f t="shared" si="3"/>
        <v>0.19266320258587219</v>
      </c>
      <c r="P13" s="30">
        <f t="shared" si="4"/>
        <v>0.18612985505558446</v>
      </c>
      <c r="Q13" s="30">
        <f t="shared" si="5"/>
        <v>0.18555668993804711</v>
      </c>
      <c r="R13" s="30">
        <f t="shared" si="6"/>
        <v>0.18573608142736867</v>
      </c>
    </row>
    <row r="14" spans="1:18" x14ac:dyDescent="0.3">
      <c r="A14" s="28" t="s">
        <v>48</v>
      </c>
      <c r="B14" s="29">
        <v>13725.130256413764</v>
      </c>
      <c r="C14" s="29">
        <v>13735.254207080172</v>
      </c>
      <c r="D14" s="29">
        <v>13585.834774321616</v>
      </c>
      <c r="E14" s="29">
        <v>13125.756824930993</v>
      </c>
      <c r="F14" s="29">
        <v>12804.025240378467</v>
      </c>
      <c r="G14" s="29">
        <v>12909.087630134394</v>
      </c>
      <c r="H14" s="29">
        <v>13136.203078176775</v>
      </c>
      <c r="J14" s="29"/>
      <c r="K14" s="30"/>
      <c r="L14" s="30">
        <f t="shared" si="0"/>
        <v>0.21895398032087041</v>
      </c>
      <c r="M14" s="30">
        <f t="shared" si="1"/>
        <v>0.21927289602618413</v>
      </c>
      <c r="N14" s="30">
        <f t="shared" si="2"/>
        <v>0.2174220589303463</v>
      </c>
      <c r="O14" s="30">
        <f t="shared" si="3"/>
        <v>0.20976374892017449</v>
      </c>
      <c r="P14" s="30">
        <f t="shared" si="4"/>
        <v>0.20523217991245857</v>
      </c>
      <c r="Q14" s="30">
        <f t="shared" si="5"/>
        <v>0.20800643931187693</v>
      </c>
      <c r="R14" s="30">
        <f t="shared" si="6"/>
        <v>0.21279061568653349</v>
      </c>
    </row>
    <row r="15" spans="1:18" x14ac:dyDescent="0.3">
      <c r="A15" s="28" t="s">
        <v>49</v>
      </c>
      <c r="B15" s="29">
        <v>7661.3220727341277</v>
      </c>
      <c r="C15" s="29">
        <v>7440.8843591855903</v>
      </c>
      <c r="D15" s="29">
        <v>7506.5004466347245</v>
      </c>
      <c r="E15" s="29">
        <v>7842.7035497815959</v>
      </c>
      <c r="F15" s="29">
        <v>7988.7423945505861</v>
      </c>
      <c r="G15" s="29">
        <v>8008.728679254441</v>
      </c>
      <c r="H15" s="29">
        <v>7949.6397024779972</v>
      </c>
      <c r="J15" s="29"/>
      <c r="K15" s="30"/>
      <c r="L15" s="30">
        <f t="shared" si="0"/>
        <v>0.23705319077737955</v>
      </c>
      <c r="M15" s="30">
        <f t="shared" si="1"/>
        <v>0.22018359351321506</v>
      </c>
      <c r="N15" s="30">
        <f t="shared" si="2"/>
        <v>0.21425718414827238</v>
      </c>
      <c r="O15" s="30">
        <f t="shared" si="3"/>
        <v>0.21365689241238994</v>
      </c>
      <c r="P15" s="30">
        <f t="shared" si="4"/>
        <v>0.21085152012644068</v>
      </c>
      <c r="Q15" s="30">
        <f t="shared" si="5"/>
        <v>0.20628824869933912</v>
      </c>
      <c r="R15" s="30">
        <f t="shared" si="6"/>
        <v>0.19995069426223647</v>
      </c>
    </row>
    <row r="16" spans="1:18" x14ac:dyDescent="0.3">
      <c r="A16" s="28" t="s">
        <v>50</v>
      </c>
      <c r="B16" s="29">
        <v>8087.6459112307311</v>
      </c>
      <c r="C16" s="29">
        <v>8338.769247659613</v>
      </c>
      <c r="D16" s="29">
        <v>8345.9653423688615</v>
      </c>
      <c r="E16" s="29">
        <v>8414.617240112555</v>
      </c>
      <c r="F16" s="29">
        <v>8520.4134637264324</v>
      </c>
      <c r="G16" s="29">
        <v>8594.51626035548</v>
      </c>
      <c r="H16" s="29">
        <v>8700.431226387831</v>
      </c>
      <c r="J16" s="29"/>
      <c r="K16" s="30"/>
      <c r="L16" s="30">
        <f t="shared" si="0"/>
        <v>0.24673253946827942</v>
      </c>
      <c r="M16" s="30">
        <f t="shared" si="1"/>
        <v>0.24360996925678102</v>
      </c>
      <c r="N16" s="30">
        <f t="shared" si="2"/>
        <v>0.23992311108977357</v>
      </c>
      <c r="O16" s="30">
        <f t="shared" si="3"/>
        <v>0.23701811841903433</v>
      </c>
      <c r="P16" s="30">
        <f t="shared" si="4"/>
        <v>0.23646139549097872</v>
      </c>
      <c r="Q16" s="30">
        <f t="shared" si="5"/>
        <v>0.23564050833097036</v>
      </c>
      <c r="R16" s="30">
        <f t="shared" si="6"/>
        <v>0.23570100578083139</v>
      </c>
    </row>
    <row r="17" spans="1:18" s="13" customFormat="1" x14ac:dyDescent="0.3">
      <c r="A17" s="28" t="s">
        <v>23</v>
      </c>
      <c r="B17" s="29">
        <v>12285.485191957145</v>
      </c>
      <c r="C17" s="29">
        <v>12592.193021688647</v>
      </c>
      <c r="D17" s="29">
        <v>12939.834562919956</v>
      </c>
      <c r="E17" s="29">
        <v>13361.403106266223</v>
      </c>
      <c r="F17" s="29">
        <v>13680.212626463008</v>
      </c>
      <c r="G17" s="29">
        <v>14264.295430841039</v>
      </c>
      <c r="H17" s="29">
        <v>14942.179947283839</v>
      </c>
      <c r="J17" s="29"/>
      <c r="K17" s="30"/>
      <c r="L17" s="30">
        <f t="shared" si="0"/>
        <v>0.22050983939327903</v>
      </c>
      <c r="M17" s="30">
        <f t="shared" si="1"/>
        <v>0.21154461187213183</v>
      </c>
      <c r="N17" s="30">
        <f t="shared" si="2"/>
        <v>0.20521504342113953</v>
      </c>
      <c r="O17" s="30">
        <f t="shared" si="3"/>
        <v>0.19979966962147053</v>
      </c>
      <c r="P17" s="30">
        <f t="shared" si="4"/>
        <v>0.19441785868632144</v>
      </c>
      <c r="Q17" s="30">
        <f t="shared" si="5"/>
        <v>0.19357691117741069</v>
      </c>
      <c r="R17" s="30">
        <f t="shared" si="6"/>
        <v>0.1940316060107759</v>
      </c>
    </row>
    <row r="18" spans="1:18" x14ac:dyDescent="0.3">
      <c r="A18" s="28" t="s">
        <v>51</v>
      </c>
      <c r="B18" s="29">
        <v>15982.42728784206</v>
      </c>
      <c r="C18" s="29">
        <v>15600.694818639011</v>
      </c>
      <c r="D18" s="29">
        <v>15156.855419692933</v>
      </c>
      <c r="E18" s="29">
        <v>14958.689243558001</v>
      </c>
      <c r="F18" s="29">
        <v>14620.23015868631</v>
      </c>
      <c r="G18" s="29">
        <v>14644.736102732644</v>
      </c>
      <c r="H18" s="29">
        <v>14716.499000366382</v>
      </c>
      <c r="J18" s="31"/>
      <c r="K18" s="30"/>
      <c r="L18" s="30">
        <f t="shared" si="0"/>
        <v>0.21484644828393681</v>
      </c>
      <c r="M18" s="30">
        <f t="shared" si="1"/>
        <v>0.21113690561029397</v>
      </c>
      <c r="N18" s="30">
        <f t="shared" si="2"/>
        <v>0.2062016926697903</v>
      </c>
      <c r="O18" s="30">
        <f t="shared" si="3"/>
        <v>0.20441511442725965</v>
      </c>
      <c r="P18" s="30">
        <f t="shared" si="4"/>
        <v>0.20087700473587297</v>
      </c>
      <c r="Q18" s="30">
        <f t="shared" si="5"/>
        <v>0.2024347359486425</v>
      </c>
      <c r="R18" s="30">
        <f t="shared" si="6"/>
        <v>0.20466586468766265</v>
      </c>
    </row>
    <row r="19" spans="1:18" s="13" customFormat="1" x14ac:dyDescent="0.3">
      <c r="A19" s="28" t="s">
        <v>24</v>
      </c>
      <c r="B19" s="29">
        <v>15030.25030115564</v>
      </c>
      <c r="C19" s="29">
        <v>16039.347970209572</v>
      </c>
      <c r="D19" s="29">
        <v>17946.235207177706</v>
      </c>
      <c r="E19" s="29">
        <v>19936.599887105269</v>
      </c>
      <c r="F19" s="29">
        <v>21575.900115514207</v>
      </c>
      <c r="G19" s="29">
        <v>22584.108671687452</v>
      </c>
      <c r="H19" s="29">
        <v>23471.020220866241</v>
      </c>
      <c r="J19" s="31"/>
      <c r="K19" s="61"/>
      <c r="L19" s="30">
        <f t="shared" si="0"/>
        <v>0.25002911636483416</v>
      </c>
      <c r="M19" s="30">
        <f t="shared" si="1"/>
        <v>0.25165682859040672</v>
      </c>
      <c r="N19" s="30">
        <f t="shared" si="2"/>
        <v>0.25700997045809937</v>
      </c>
      <c r="O19" s="30">
        <f t="shared" si="3"/>
        <v>0.26146703415264833</v>
      </c>
      <c r="P19" s="30">
        <f t="shared" si="4"/>
        <v>0.26217753345299488</v>
      </c>
      <c r="Q19" s="30">
        <f t="shared" si="5"/>
        <v>0.25619217351295415</v>
      </c>
      <c r="R19" s="30">
        <f t="shared" si="6"/>
        <v>0.24965983300925679</v>
      </c>
    </row>
    <row r="20" spans="1:18" s="19" customFormat="1" x14ac:dyDescent="0.3">
      <c r="A20" s="32" t="s">
        <v>86</v>
      </c>
      <c r="B20" s="33">
        <f t="shared" ref="B20:H20" si="7">SUM(B5:B19)</f>
        <v>560681.45288235426</v>
      </c>
      <c r="C20" s="33">
        <f t="shared" si="7"/>
        <v>586442.06030685722</v>
      </c>
      <c r="D20" s="33">
        <f t="shared" si="7"/>
        <v>608792.7381155683</v>
      </c>
      <c r="E20" s="33">
        <f t="shared" si="7"/>
        <v>636512.94637699949</v>
      </c>
      <c r="F20" s="33">
        <f t="shared" si="7"/>
        <v>660611.88657091977</v>
      </c>
      <c r="G20" s="33">
        <f t="shared" si="7"/>
        <v>678549.33754761936</v>
      </c>
      <c r="H20" s="33">
        <f t="shared" si="7"/>
        <v>698262.24257626012</v>
      </c>
      <c r="J20" s="58"/>
      <c r="K20" s="62"/>
      <c r="L20" s="34">
        <f t="shared" si="0"/>
        <v>0.23571711870006737</v>
      </c>
      <c r="M20" s="34">
        <f t="shared" si="1"/>
        <v>0.23320659545051381</v>
      </c>
      <c r="N20" s="34">
        <f t="shared" si="2"/>
        <v>0.23093089936882749</v>
      </c>
      <c r="O20" s="34">
        <f t="shared" si="3"/>
        <v>0.22843100568499905</v>
      </c>
      <c r="P20" s="34">
        <f t="shared" si="4"/>
        <v>0.22748915057813773</v>
      </c>
      <c r="Q20" s="34">
        <f t="shared" si="5"/>
        <v>0.22580406276251586</v>
      </c>
      <c r="R20" s="34">
        <f t="shared" si="6"/>
        <v>0.22480027254885401</v>
      </c>
    </row>
    <row r="22" spans="1:18" s="9" customFormat="1" ht="26.25" customHeight="1" x14ac:dyDescent="0.3">
      <c r="A22" s="90" t="s">
        <v>95</v>
      </c>
      <c r="B22" s="90"/>
      <c r="C22" s="90"/>
      <c r="D22" s="90"/>
      <c r="E22" s="90"/>
      <c r="F22" s="90"/>
      <c r="G22" s="90"/>
      <c r="H22" s="90"/>
      <c r="I22" s="90"/>
      <c r="J22" s="90"/>
      <c r="K22" s="90"/>
      <c r="L22" s="90"/>
      <c r="M22" s="90"/>
      <c r="N22" s="90"/>
      <c r="O22" s="90"/>
      <c r="P22" s="90"/>
      <c r="Q22" s="90"/>
    </row>
    <row r="23" spans="1:18" s="9" customFormat="1" ht="15.6" x14ac:dyDescent="0.3">
      <c r="A23" s="10"/>
      <c r="B23" s="18" t="s">
        <v>60</v>
      </c>
      <c r="C23" s="93" t="s">
        <v>61</v>
      </c>
      <c r="D23" s="93"/>
      <c r="E23" s="93"/>
      <c r="F23" s="93"/>
      <c r="G23" s="93"/>
      <c r="H23" s="93"/>
      <c r="I23" s="51"/>
      <c r="J23" s="10"/>
      <c r="K23" s="93" t="s">
        <v>94</v>
      </c>
      <c r="L23" s="93"/>
      <c r="M23" s="93"/>
      <c r="N23" s="93"/>
      <c r="O23" s="93"/>
      <c r="P23" s="93"/>
      <c r="Q23" s="93"/>
      <c r="R23" s="93"/>
    </row>
    <row r="24" spans="1:18" x14ac:dyDescent="0.3">
      <c r="A24" s="48" t="s">
        <v>0</v>
      </c>
      <c r="B24" s="4">
        <v>2020</v>
      </c>
      <c r="C24" s="4">
        <v>2025</v>
      </c>
      <c r="D24" s="4">
        <v>2030</v>
      </c>
      <c r="E24" s="4">
        <v>2035</v>
      </c>
      <c r="F24" s="4">
        <v>2040</v>
      </c>
      <c r="G24" s="4">
        <v>2045</v>
      </c>
      <c r="H24" s="4">
        <v>2050</v>
      </c>
      <c r="K24" s="4"/>
      <c r="L24" s="4">
        <v>2020</v>
      </c>
      <c r="M24" s="4">
        <v>2025</v>
      </c>
      <c r="N24" s="4">
        <v>2030</v>
      </c>
      <c r="O24" s="4">
        <v>2035</v>
      </c>
      <c r="P24" s="4">
        <v>2040</v>
      </c>
      <c r="Q24" s="4">
        <v>2045</v>
      </c>
      <c r="R24" s="4">
        <v>2050</v>
      </c>
    </row>
    <row r="25" spans="1:18" s="13" customFormat="1" x14ac:dyDescent="0.3">
      <c r="A25" s="28" t="s">
        <v>18</v>
      </c>
      <c r="B25" s="29">
        <v>126668.52601590233</v>
      </c>
      <c r="C25" s="29">
        <v>145319.24423133634</v>
      </c>
      <c r="D25" s="29">
        <v>160653.84384566068</v>
      </c>
      <c r="E25" s="29">
        <v>177640.12319771305</v>
      </c>
      <c r="F25" s="29">
        <v>192780.78183376222</v>
      </c>
      <c r="G25" s="29">
        <v>208387.53274779941</v>
      </c>
      <c r="H25" s="29">
        <v>224128.50231069018</v>
      </c>
      <c r="J25" s="29"/>
      <c r="K25" s="30"/>
      <c r="L25" s="30">
        <f t="shared" ref="L25:L40" si="8">B25/(B5+B25+B45)</f>
        <v>0.59942421109471711</v>
      </c>
      <c r="M25" s="30">
        <f t="shared" ref="M25:M40" si="9">C25/(C5+C25+C45)</f>
        <v>0.5950950847942682</v>
      </c>
      <c r="N25" s="30">
        <f t="shared" ref="N25:N40" si="10">D25/(D5+D25+D45)</f>
        <v>0.58494665459903328</v>
      </c>
      <c r="O25" s="30">
        <f t="shared" ref="O25:O40" si="11">E25/(E5+E25+E45)</f>
        <v>0.57674053900629885</v>
      </c>
      <c r="P25" s="30">
        <f t="shared" ref="P25:P40" si="12">F25/(F5+F25+F45)</f>
        <v>0.57028985278003275</v>
      </c>
      <c r="Q25" s="30">
        <f t="shared" ref="Q25:Q40" si="13">G25/(G5+G25+G45)</f>
        <v>0.56872619202971364</v>
      </c>
      <c r="R25" s="30">
        <f t="shared" ref="R25:R40" si="14">H25/(H5+H25+H45)</f>
        <v>0.56772438171427952</v>
      </c>
    </row>
    <row r="26" spans="1:18" s="13" customFormat="1" x14ac:dyDescent="0.3">
      <c r="A26" s="28" t="s">
        <v>19</v>
      </c>
      <c r="B26" s="29">
        <v>93009.150585371244</v>
      </c>
      <c r="C26" s="29">
        <v>97008.335500189089</v>
      </c>
      <c r="D26" s="29">
        <v>100239.14077227309</v>
      </c>
      <c r="E26" s="29">
        <v>105773.37830183574</v>
      </c>
      <c r="F26" s="29">
        <v>111882.18698681684</v>
      </c>
      <c r="G26" s="29">
        <v>118235.30629321747</v>
      </c>
      <c r="H26" s="29">
        <v>124206.67234646523</v>
      </c>
      <c r="J26" s="29"/>
      <c r="K26" s="30"/>
      <c r="L26" s="30">
        <f t="shared" si="8"/>
        <v>0.59538049767229928</v>
      </c>
      <c r="M26" s="30">
        <f t="shared" si="9"/>
        <v>0.58272014116347237</v>
      </c>
      <c r="N26" s="30">
        <f t="shared" si="10"/>
        <v>0.57039616681996363</v>
      </c>
      <c r="O26" s="30">
        <f t="shared" si="11"/>
        <v>0.56836544834168401</v>
      </c>
      <c r="P26" s="30">
        <f t="shared" si="12"/>
        <v>0.57315226037661349</v>
      </c>
      <c r="Q26" s="30">
        <f t="shared" si="13"/>
        <v>0.58050396605025345</v>
      </c>
      <c r="R26" s="30">
        <f t="shared" si="14"/>
        <v>0.58546904461706284</v>
      </c>
    </row>
    <row r="27" spans="1:18" x14ac:dyDescent="0.3">
      <c r="A27" s="28" t="s">
        <v>44</v>
      </c>
      <c r="B27" s="29">
        <v>14679.627677665423</v>
      </c>
      <c r="C27" s="29">
        <v>14695.060927796196</v>
      </c>
      <c r="D27" s="29">
        <v>14967.915069246417</v>
      </c>
      <c r="E27" s="29">
        <v>15299.343119206827</v>
      </c>
      <c r="F27" s="29">
        <v>15600.57881490306</v>
      </c>
      <c r="G27" s="29">
        <v>15984.655285276149</v>
      </c>
      <c r="H27" s="29">
        <v>16395.186875287673</v>
      </c>
      <c r="J27" s="29"/>
      <c r="K27" s="30"/>
      <c r="L27" s="30">
        <f t="shared" si="8"/>
        <v>0.55769423591161105</v>
      </c>
      <c r="M27" s="30">
        <f t="shared" si="9"/>
        <v>0.54852784351609529</v>
      </c>
      <c r="N27" s="30">
        <f t="shared" si="10"/>
        <v>0.54663337481726737</v>
      </c>
      <c r="O27" s="30">
        <f t="shared" si="11"/>
        <v>0.54630755647944385</v>
      </c>
      <c r="P27" s="30">
        <f t="shared" si="12"/>
        <v>0.54564649067549453</v>
      </c>
      <c r="Q27" s="30">
        <f t="shared" si="13"/>
        <v>0.54815182213491143</v>
      </c>
      <c r="R27" s="30">
        <f t="shared" si="14"/>
        <v>0.55145090563007182</v>
      </c>
    </row>
    <row r="28" spans="1:18" s="13" customFormat="1" x14ac:dyDescent="0.3">
      <c r="A28" s="28" t="s">
        <v>20</v>
      </c>
      <c r="B28" s="29">
        <v>843951.02510575601</v>
      </c>
      <c r="C28" s="29">
        <v>868734.09728373564</v>
      </c>
      <c r="D28" s="29">
        <v>894781.84436772089</v>
      </c>
      <c r="E28" s="29">
        <v>942968.28458394075</v>
      </c>
      <c r="F28" s="29">
        <v>982849.43629214843</v>
      </c>
      <c r="G28" s="29">
        <v>1019973.1046496063</v>
      </c>
      <c r="H28" s="29">
        <v>1048743.24498198</v>
      </c>
      <c r="J28" s="29"/>
      <c r="K28" s="30"/>
      <c r="L28" s="30">
        <f t="shared" si="8"/>
        <v>0.63897393691034843</v>
      </c>
      <c r="M28" s="30">
        <f t="shared" si="9"/>
        <v>0.62629883041913281</v>
      </c>
      <c r="N28" s="30">
        <f t="shared" si="10"/>
        <v>0.6196374232918046</v>
      </c>
      <c r="O28" s="30">
        <f t="shared" si="11"/>
        <v>0.6216908744735169</v>
      </c>
      <c r="P28" s="30">
        <f t="shared" si="12"/>
        <v>0.62543235660078478</v>
      </c>
      <c r="Q28" s="30">
        <f t="shared" si="13"/>
        <v>0.63072458230375528</v>
      </c>
      <c r="R28" s="30">
        <f t="shared" si="14"/>
        <v>0.63070350278412213</v>
      </c>
    </row>
    <row r="29" spans="1:18" x14ac:dyDescent="0.3">
      <c r="A29" s="28" t="s">
        <v>45</v>
      </c>
      <c r="B29" s="29">
        <v>14145.806948650843</v>
      </c>
      <c r="C29" s="29">
        <v>13599.747643817633</v>
      </c>
      <c r="D29" s="29">
        <v>12986.346796202131</v>
      </c>
      <c r="E29" s="29">
        <v>12769.05592717024</v>
      </c>
      <c r="F29" s="29">
        <v>12631.527801949182</v>
      </c>
      <c r="G29" s="29">
        <v>12670.691804210957</v>
      </c>
      <c r="H29" s="29">
        <v>12736.209855250527</v>
      </c>
      <c r="J29" s="29"/>
      <c r="K29" s="30"/>
      <c r="L29" s="30">
        <f t="shared" si="8"/>
        <v>0.55646146684437436</v>
      </c>
      <c r="M29" s="30">
        <f t="shared" si="9"/>
        <v>0.53677564113583942</v>
      </c>
      <c r="N29" s="30">
        <f t="shared" si="10"/>
        <v>0.51670500124148055</v>
      </c>
      <c r="O29" s="30">
        <f t="shared" si="11"/>
        <v>0.51076223708680957</v>
      </c>
      <c r="P29" s="30">
        <f t="shared" si="12"/>
        <v>0.50935633702766969</v>
      </c>
      <c r="Q29" s="30">
        <f t="shared" si="13"/>
        <v>0.51588664159484388</v>
      </c>
      <c r="R29" s="30">
        <f t="shared" si="14"/>
        <v>0.52360671991656516</v>
      </c>
    </row>
    <row r="30" spans="1:18" x14ac:dyDescent="0.3">
      <c r="A30" s="28" t="s">
        <v>46</v>
      </c>
      <c r="B30" s="29">
        <v>33642.314336779753</v>
      </c>
      <c r="C30" s="29">
        <v>33084.544455171825</v>
      </c>
      <c r="D30" s="29">
        <v>32947.024123720752</v>
      </c>
      <c r="E30" s="29">
        <v>33588.691467978351</v>
      </c>
      <c r="F30" s="29">
        <v>34494.498938120814</v>
      </c>
      <c r="G30" s="29">
        <v>35497.843992272275</v>
      </c>
      <c r="H30" s="29">
        <v>36398.448857707903</v>
      </c>
      <c r="J30" s="29"/>
      <c r="K30" s="30"/>
      <c r="L30" s="30">
        <f t="shared" si="8"/>
        <v>0.56056509767191121</v>
      </c>
      <c r="M30" s="30">
        <f t="shared" si="9"/>
        <v>0.5384065559272212</v>
      </c>
      <c r="N30" s="30">
        <f t="shared" si="10"/>
        <v>0.52606658454902289</v>
      </c>
      <c r="O30" s="30">
        <f t="shared" si="11"/>
        <v>0.52237467290790596</v>
      </c>
      <c r="P30" s="30">
        <f t="shared" si="12"/>
        <v>0.52735818587556649</v>
      </c>
      <c r="Q30" s="30">
        <f t="shared" si="13"/>
        <v>0.53588931314853727</v>
      </c>
      <c r="R30" s="30">
        <f t="shared" si="14"/>
        <v>0.54267725515428056</v>
      </c>
    </row>
    <row r="31" spans="1:18" s="13" customFormat="1" x14ac:dyDescent="0.3">
      <c r="A31" s="28" t="s">
        <v>21</v>
      </c>
      <c r="B31" s="29">
        <v>104397.20986889364</v>
      </c>
      <c r="C31" s="29">
        <v>108968.46297250778</v>
      </c>
      <c r="D31" s="29">
        <v>112430.62358908379</v>
      </c>
      <c r="E31" s="29">
        <v>121499.2943652876</v>
      </c>
      <c r="F31" s="29">
        <v>127971.10695106082</v>
      </c>
      <c r="G31" s="29">
        <v>133449.07246531182</v>
      </c>
      <c r="H31" s="29">
        <v>137874.63781984075</v>
      </c>
      <c r="J31" s="29"/>
      <c r="K31" s="30"/>
      <c r="L31" s="30">
        <f t="shared" si="8"/>
        <v>0.59356054802848268</v>
      </c>
      <c r="M31" s="30">
        <f t="shared" si="9"/>
        <v>0.57876365253777806</v>
      </c>
      <c r="N31" s="30">
        <f t="shared" si="10"/>
        <v>0.56762215743227906</v>
      </c>
      <c r="O31" s="30">
        <f t="shared" si="11"/>
        <v>0.56689542172266094</v>
      </c>
      <c r="P31" s="30">
        <f t="shared" si="12"/>
        <v>0.5733600974531724</v>
      </c>
      <c r="Q31" s="30">
        <f t="shared" si="13"/>
        <v>0.58433162622356616</v>
      </c>
      <c r="R31" s="30">
        <f t="shared" si="14"/>
        <v>0.59030774357281424</v>
      </c>
    </row>
    <row r="32" spans="1:18" x14ac:dyDescent="0.3">
      <c r="A32" s="28" t="s">
        <v>47</v>
      </c>
      <c r="B32" s="29">
        <v>24644.238165308059</v>
      </c>
      <c r="C32" s="29">
        <v>23854.491733831775</v>
      </c>
      <c r="D32" s="29">
        <v>23461.020485443973</v>
      </c>
      <c r="E32" s="29">
        <v>23521.099277703652</v>
      </c>
      <c r="F32" s="29">
        <v>23777.728849059517</v>
      </c>
      <c r="G32" s="29">
        <v>24226.515076389842</v>
      </c>
      <c r="H32" s="29">
        <v>24757.647651174069</v>
      </c>
      <c r="J32" s="29"/>
      <c r="K32" s="30"/>
      <c r="L32" s="30">
        <f t="shared" si="8"/>
        <v>0.5670947871530031</v>
      </c>
      <c r="M32" s="30">
        <f t="shared" si="9"/>
        <v>0.54960467557154524</v>
      </c>
      <c r="N32" s="30">
        <f t="shared" si="10"/>
        <v>0.53666896526315244</v>
      </c>
      <c r="O32" s="30">
        <f t="shared" si="11"/>
        <v>0.53369711557686628</v>
      </c>
      <c r="P32" s="30">
        <f t="shared" si="12"/>
        <v>0.53593276194152217</v>
      </c>
      <c r="Q32" s="30">
        <f t="shared" si="13"/>
        <v>0.54266004561396453</v>
      </c>
      <c r="R32" s="30">
        <f t="shared" si="14"/>
        <v>0.55113750030440256</v>
      </c>
    </row>
    <row r="33" spans="1:18" s="13" customFormat="1" x14ac:dyDescent="0.3">
      <c r="A33" s="28" t="s">
        <v>22</v>
      </c>
      <c r="B33" s="29">
        <v>25500.531208140688</v>
      </c>
      <c r="C33" s="29">
        <v>26622.860440931669</v>
      </c>
      <c r="D33" s="29">
        <v>27479.178997949472</v>
      </c>
      <c r="E33" s="29">
        <v>28752.469004496848</v>
      </c>
      <c r="F33" s="29">
        <v>30257.324877176972</v>
      </c>
      <c r="G33" s="29">
        <v>31774.778106326507</v>
      </c>
      <c r="H33" s="29">
        <v>33212.833600953512</v>
      </c>
      <c r="J33" s="29"/>
      <c r="K33" s="30"/>
      <c r="L33" s="30">
        <f t="shared" si="8"/>
        <v>0.61902005602963162</v>
      </c>
      <c r="M33" s="30">
        <f t="shared" si="9"/>
        <v>0.60702404215722738</v>
      </c>
      <c r="N33" s="30">
        <f t="shared" si="10"/>
        <v>0.59473593190956342</v>
      </c>
      <c r="O33" s="30">
        <f t="shared" si="11"/>
        <v>0.58939526073625748</v>
      </c>
      <c r="P33" s="30">
        <f t="shared" si="12"/>
        <v>0.59215462506951444</v>
      </c>
      <c r="Q33" s="30">
        <f t="shared" si="13"/>
        <v>0.59641823910065517</v>
      </c>
      <c r="R33" s="30">
        <f t="shared" si="14"/>
        <v>0.59891504104144822</v>
      </c>
    </row>
    <row r="34" spans="1:18" x14ac:dyDescent="0.3">
      <c r="A34" s="28" t="s">
        <v>48</v>
      </c>
      <c r="B34" s="29">
        <v>37112.487022203961</v>
      </c>
      <c r="C34" s="29">
        <v>35839.638704776204</v>
      </c>
      <c r="D34" s="29">
        <v>35177.507007892811</v>
      </c>
      <c r="E34" s="29">
        <v>35756.962090151646</v>
      </c>
      <c r="F34" s="29">
        <v>36420.84514132909</v>
      </c>
      <c r="G34" s="29">
        <v>36727.52146634346</v>
      </c>
      <c r="H34" s="29">
        <v>36724.715217497484</v>
      </c>
      <c r="J34" s="29"/>
      <c r="K34" s="30"/>
      <c r="L34" s="30">
        <f t="shared" si="8"/>
        <v>0.59204733225179795</v>
      </c>
      <c r="M34" s="30">
        <f t="shared" si="9"/>
        <v>0.5721525974581132</v>
      </c>
      <c r="N34" s="30">
        <f t="shared" si="10"/>
        <v>0.56296621655879431</v>
      </c>
      <c r="O34" s="30">
        <f t="shared" si="11"/>
        <v>0.57143481462191414</v>
      </c>
      <c r="P34" s="30">
        <f t="shared" si="12"/>
        <v>0.58377965540374888</v>
      </c>
      <c r="Q34" s="30">
        <f t="shared" si="13"/>
        <v>0.59179712647787597</v>
      </c>
      <c r="R34" s="30">
        <f t="shared" si="14"/>
        <v>0.59489600728131586</v>
      </c>
    </row>
    <row r="35" spans="1:18" x14ac:dyDescent="0.3">
      <c r="A35" s="28" t="s">
        <v>49</v>
      </c>
      <c r="B35" s="29">
        <v>18507.092657152058</v>
      </c>
      <c r="C35" s="29">
        <v>18897.973165368152</v>
      </c>
      <c r="D35" s="29">
        <v>19081.608875306643</v>
      </c>
      <c r="E35" s="29">
        <v>19633.623169395712</v>
      </c>
      <c r="F35" s="29">
        <v>20177.664388449684</v>
      </c>
      <c r="G35" s="29">
        <v>20844.328332197012</v>
      </c>
      <c r="H35" s="29">
        <v>21657.810649045547</v>
      </c>
      <c r="J35" s="29"/>
      <c r="K35" s="30"/>
      <c r="L35" s="30">
        <f t="shared" si="8"/>
        <v>0.57263815888957148</v>
      </c>
      <c r="M35" s="30">
        <f t="shared" si="9"/>
        <v>0.55921090031864096</v>
      </c>
      <c r="N35" s="30">
        <f t="shared" si="10"/>
        <v>0.5446441808279332</v>
      </c>
      <c r="O35" s="30">
        <f t="shared" si="11"/>
        <v>0.53487408857699392</v>
      </c>
      <c r="P35" s="30">
        <f t="shared" si="12"/>
        <v>0.53256082106338898</v>
      </c>
      <c r="Q35" s="30">
        <f t="shared" si="13"/>
        <v>0.53690668758717808</v>
      </c>
      <c r="R35" s="30">
        <f t="shared" si="14"/>
        <v>0.54474094896739134</v>
      </c>
    </row>
    <row r="36" spans="1:18" x14ac:dyDescent="0.3">
      <c r="A36" s="28" t="s">
        <v>50</v>
      </c>
      <c r="B36" s="29">
        <v>18796.122251132932</v>
      </c>
      <c r="C36" s="29">
        <v>18876.442319527931</v>
      </c>
      <c r="D36" s="29">
        <v>18704.19249324215</v>
      </c>
      <c r="E36" s="29">
        <v>18867.553537854961</v>
      </c>
      <c r="F36" s="29">
        <v>19252.468218630245</v>
      </c>
      <c r="G36" s="29">
        <v>19693.724903156111</v>
      </c>
      <c r="H36" s="29">
        <v>20069.935994145213</v>
      </c>
      <c r="J36" s="29"/>
      <c r="K36" s="30"/>
      <c r="L36" s="30">
        <f t="shared" si="8"/>
        <v>0.57341963608203217</v>
      </c>
      <c r="M36" s="30">
        <f t="shared" si="9"/>
        <v>0.55145902189681373</v>
      </c>
      <c r="N36" s="30">
        <f t="shared" si="10"/>
        <v>0.5376931091025744</v>
      </c>
      <c r="O36" s="30">
        <f t="shared" si="11"/>
        <v>0.53145044047814105</v>
      </c>
      <c r="P36" s="30">
        <f t="shared" si="12"/>
        <v>0.53430100792690738</v>
      </c>
      <c r="Q36" s="30">
        <f t="shared" si="13"/>
        <v>0.53995352461152402</v>
      </c>
      <c r="R36" s="30">
        <f t="shared" si="14"/>
        <v>0.54370915379799012</v>
      </c>
    </row>
    <row r="37" spans="1:18" s="13" customFormat="1" x14ac:dyDescent="0.3">
      <c r="A37" s="28" t="s">
        <v>23</v>
      </c>
      <c r="B37" s="29">
        <v>34127.083732997664</v>
      </c>
      <c r="C37" s="29">
        <v>36087.019469849693</v>
      </c>
      <c r="D37" s="29">
        <v>37873.559998996156</v>
      </c>
      <c r="E37" s="29">
        <v>40041.065411847834</v>
      </c>
      <c r="F37" s="29">
        <v>42386.924474857857</v>
      </c>
      <c r="G37" s="29">
        <v>44520.236139990819</v>
      </c>
      <c r="H37" s="29">
        <v>46676.815128030124</v>
      </c>
      <c r="J37" s="29"/>
      <c r="K37" s="30"/>
      <c r="L37" s="30">
        <f t="shared" si="8"/>
        <v>0.61254054156940219</v>
      </c>
      <c r="M37" s="30">
        <f t="shared" si="9"/>
        <v>0.60624980209743284</v>
      </c>
      <c r="N37" s="30">
        <f t="shared" si="10"/>
        <v>0.60064324794221147</v>
      </c>
      <c r="O37" s="30">
        <f t="shared" si="11"/>
        <v>0.59875385668343195</v>
      </c>
      <c r="P37" s="30">
        <f t="shared" si="12"/>
        <v>0.60238647729493155</v>
      </c>
      <c r="Q37" s="30">
        <f t="shared" si="13"/>
        <v>0.60417213304731865</v>
      </c>
      <c r="R37" s="30">
        <f t="shared" si="14"/>
        <v>0.60612155888311925</v>
      </c>
    </row>
    <row r="38" spans="1:18" x14ac:dyDescent="0.3">
      <c r="A38" s="28" t="s">
        <v>51</v>
      </c>
      <c r="B38" s="29">
        <v>45085.437093210021</v>
      </c>
      <c r="C38" s="29">
        <v>43424.388239464359</v>
      </c>
      <c r="D38" s="29">
        <v>42432.636167965698</v>
      </c>
      <c r="E38" s="29">
        <v>42009.065475272546</v>
      </c>
      <c r="F38" s="29">
        <v>42208.237658149024</v>
      </c>
      <c r="G38" s="29">
        <v>42159.018385636904</v>
      </c>
      <c r="H38" s="29">
        <v>42203.235961160455</v>
      </c>
      <c r="J38" s="31"/>
      <c r="K38" s="61"/>
      <c r="L38" s="30">
        <f t="shared" si="8"/>
        <v>0.60606851852681842</v>
      </c>
      <c r="M38" s="30">
        <f t="shared" si="9"/>
        <v>0.58769760369560231</v>
      </c>
      <c r="N38" s="30">
        <f t="shared" si="10"/>
        <v>0.57727550735277477</v>
      </c>
      <c r="O38" s="30">
        <f t="shared" si="11"/>
        <v>0.57406687085288699</v>
      </c>
      <c r="P38" s="30">
        <f t="shared" si="12"/>
        <v>0.57992687282774613</v>
      </c>
      <c r="Q38" s="30">
        <f t="shared" si="13"/>
        <v>0.58276569102244724</v>
      </c>
      <c r="R38" s="30">
        <f t="shared" si="14"/>
        <v>0.58693047717349911</v>
      </c>
    </row>
    <row r="39" spans="1:18" s="13" customFormat="1" x14ac:dyDescent="0.3">
      <c r="A39" s="28" t="s">
        <v>24</v>
      </c>
      <c r="B39" s="29">
        <v>37138.805779216229</v>
      </c>
      <c r="C39" s="29">
        <v>38390.006823047195</v>
      </c>
      <c r="D39" s="29">
        <v>40842.569735005018</v>
      </c>
      <c r="E39" s="29">
        <v>44016.469957051275</v>
      </c>
      <c r="F39" s="29">
        <v>47677.587827589668</v>
      </c>
      <c r="G39" s="29">
        <v>51941.969114675332</v>
      </c>
      <c r="H39" s="29">
        <v>56178.463955111933</v>
      </c>
      <c r="J39" s="31"/>
      <c r="K39" s="61"/>
      <c r="L39" s="30">
        <f t="shared" si="8"/>
        <v>0.61780626441787656</v>
      </c>
      <c r="M39" s="30">
        <f t="shared" si="9"/>
        <v>0.60233791202709963</v>
      </c>
      <c r="N39" s="30">
        <f t="shared" si="10"/>
        <v>0.58491084730841958</v>
      </c>
      <c r="O39" s="30">
        <f t="shared" si="11"/>
        <v>0.57727275055477845</v>
      </c>
      <c r="P39" s="30">
        <f t="shared" si="12"/>
        <v>0.57934975183899007</v>
      </c>
      <c r="Q39" s="30">
        <f t="shared" si="13"/>
        <v>0.58922520067014539</v>
      </c>
      <c r="R39" s="30">
        <f t="shared" si="14"/>
        <v>0.59756694842266889</v>
      </c>
    </row>
    <row r="40" spans="1:18" s="19" customFormat="1" x14ac:dyDescent="0.3">
      <c r="A40" s="32" t="s">
        <v>86</v>
      </c>
      <c r="B40" s="33">
        <f t="shared" ref="B40:H40" si="15">SUM(B25:B39)</f>
        <v>1471405.4584483812</v>
      </c>
      <c r="C40" s="33">
        <f t="shared" si="15"/>
        <v>1523402.3139113518</v>
      </c>
      <c r="D40" s="33">
        <f t="shared" si="15"/>
        <v>1574059.0123257095</v>
      </c>
      <c r="E40" s="33">
        <f t="shared" si="15"/>
        <v>1662136.4788869068</v>
      </c>
      <c r="F40" s="33">
        <f t="shared" si="15"/>
        <v>1740368.8990540032</v>
      </c>
      <c r="G40" s="33">
        <f t="shared" si="15"/>
        <v>1816086.2987624097</v>
      </c>
      <c r="H40" s="33">
        <f t="shared" si="15"/>
        <v>1881964.3612043406</v>
      </c>
      <c r="J40" s="58"/>
      <c r="K40" s="62"/>
      <c r="L40" s="34">
        <f t="shared" si="8"/>
        <v>0.61859626945387713</v>
      </c>
      <c r="M40" s="34">
        <f t="shared" si="9"/>
        <v>0.60580147839806497</v>
      </c>
      <c r="N40" s="34">
        <f t="shared" si="10"/>
        <v>0.59708147061862737</v>
      </c>
      <c r="O40" s="34">
        <f t="shared" si="11"/>
        <v>0.59650555360892377</v>
      </c>
      <c r="P40" s="34">
        <f t="shared" si="12"/>
        <v>0.59931565051532054</v>
      </c>
      <c r="Q40" s="34">
        <f t="shared" si="13"/>
        <v>0.60434760141389665</v>
      </c>
      <c r="R40" s="34">
        <f t="shared" si="14"/>
        <v>0.60588425884958386</v>
      </c>
    </row>
    <row r="41" spans="1:18" x14ac:dyDescent="0.3">
      <c r="A41" s="11"/>
      <c r="B41" s="2"/>
      <c r="C41" s="2"/>
      <c r="D41" s="2"/>
      <c r="E41" s="2"/>
      <c r="F41" s="2"/>
      <c r="G41" s="2"/>
      <c r="H41" s="2"/>
      <c r="I41" s="2"/>
    </row>
    <row r="42" spans="1:18" s="9" customFormat="1" ht="26.25" customHeight="1" x14ac:dyDescent="0.3">
      <c r="A42" s="90" t="s">
        <v>96</v>
      </c>
      <c r="B42" s="90"/>
      <c r="C42" s="90"/>
      <c r="D42" s="90"/>
      <c r="E42" s="90"/>
      <c r="F42" s="90"/>
      <c r="G42" s="90"/>
      <c r="H42" s="90"/>
      <c r="I42" s="90"/>
      <c r="J42" s="90"/>
      <c r="K42" s="90"/>
      <c r="L42" s="90"/>
      <c r="M42" s="90"/>
      <c r="N42" s="90"/>
      <c r="O42" s="90"/>
      <c r="P42" s="90"/>
      <c r="Q42" s="90"/>
    </row>
    <row r="43" spans="1:18" s="9" customFormat="1" ht="15.75" customHeight="1" x14ac:dyDescent="0.3">
      <c r="A43" s="10"/>
      <c r="B43" s="18" t="s">
        <v>60</v>
      </c>
      <c r="C43" s="93" t="s">
        <v>61</v>
      </c>
      <c r="D43" s="93"/>
      <c r="E43" s="93"/>
      <c r="F43" s="93"/>
      <c r="G43" s="93"/>
      <c r="H43" s="93"/>
      <c r="I43" s="51"/>
      <c r="J43" s="10"/>
      <c r="L43" s="93" t="s">
        <v>94</v>
      </c>
      <c r="M43" s="93"/>
      <c r="N43" s="93"/>
      <c r="O43" s="93"/>
      <c r="P43" s="93"/>
      <c r="Q43" s="93"/>
      <c r="R43" s="93"/>
    </row>
    <row r="44" spans="1:18" x14ac:dyDescent="0.3">
      <c r="A44" s="48" t="s">
        <v>0</v>
      </c>
      <c r="B44" s="4">
        <v>2020</v>
      </c>
      <c r="C44" s="4">
        <v>2025</v>
      </c>
      <c r="D44" s="4">
        <v>2030</v>
      </c>
      <c r="E44" s="4">
        <v>2035</v>
      </c>
      <c r="F44" s="4">
        <v>2040</v>
      </c>
      <c r="G44" s="4">
        <v>2045</v>
      </c>
      <c r="H44" s="4">
        <v>2050</v>
      </c>
      <c r="K44" s="4"/>
      <c r="L44" s="4">
        <v>2020</v>
      </c>
      <c r="M44" s="4">
        <v>2025</v>
      </c>
      <c r="N44" s="4">
        <v>2030</v>
      </c>
      <c r="O44" s="4">
        <v>2035</v>
      </c>
      <c r="P44" s="4">
        <v>2040</v>
      </c>
      <c r="Q44" s="4">
        <v>2045</v>
      </c>
      <c r="R44" s="4">
        <v>2050</v>
      </c>
    </row>
    <row r="45" spans="1:18" s="13" customFormat="1" x14ac:dyDescent="0.3">
      <c r="A45" s="28" t="s">
        <v>18</v>
      </c>
      <c r="B45" s="29">
        <v>31188.890257265142</v>
      </c>
      <c r="C45" s="29">
        <v>41073.544301009242</v>
      </c>
      <c r="D45" s="29">
        <v>51504.759308558663</v>
      </c>
      <c r="E45" s="29">
        <v>61937.721092614869</v>
      </c>
      <c r="F45" s="29">
        <v>70674.244634704635</v>
      </c>
      <c r="G45" s="29">
        <v>77730.785417652514</v>
      </c>
      <c r="H45" s="29">
        <v>85039.98490905753</v>
      </c>
      <c r="J45" s="29"/>
      <c r="K45" s="30"/>
      <c r="L45" s="30">
        <f t="shared" ref="L45:L60" si="16">B45/(B45+B25+B5)</f>
        <v>0.14759290666281055</v>
      </c>
      <c r="M45" s="30">
        <f t="shared" ref="M45:M60" si="17">C45/(C45+C25+C5)</f>
        <v>0.16819977600282249</v>
      </c>
      <c r="N45" s="30">
        <f t="shared" ref="N45:N60" si="18">D45/(D45+D25+D5)</f>
        <v>0.18753075514590969</v>
      </c>
      <c r="O45" s="30">
        <f t="shared" ref="O45:O60" si="19">E45/(E45+E25+E5)</f>
        <v>0.20109192678288118</v>
      </c>
      <c r="P45" s="30">
        <f t="shared" ref="P45:P60" si="20">F45/(F45+F25+F5)</f>
        <v>0.20907065623803295</v>
      </c>
      <c r="Q45" s="30">
        <f t="shared" ref="Q45:Q60" si="21">G45/(G45+G25+G5)</f>
        <v>0.21214097125264392</v>
      </c>
      <c r="R45" s="30">
        <f t="shared" ref="R45:R60" si="22">H45/(H45+H25+H5)</f>
        <v>0.21540889425371212</v>
      </c>
    </row>
    <row r="46" spans="1:18" s="13" customFormat="1" x14ac:dyDescent="0.3">
      <c r="A46" s="28" t="s">
        <v>19</v>
      </c>
      <c r="B46" s="29">
        <v>25870.113143279337</v>
      </c>
      <c r="C46" s="29">
        <v>29597.686123036088</v>
      </c>
      <c r="D46" s="29">
        <v>33063.752901610227</v>
      </c>
      <c r="E46" s="29">
        <v>35035.337701610464</v>
      </c>
      <c r="F46" s="29">
        <v>35695.855916495333</v>
      </c>
      <c r="G46" s="29">
        <v>35758.85127243607</v>
      </c>
      <c r="H46" s="29">
        <v>36262.594789356197</v>
      </c>
      <c r="J46" s="29"/>
      <c r="K46" s="30"/>
      <c r="L46" s="30">
        <f t="shared" si="16"/>
        <v>0.16560263953756504</v>
      </c>
      <c r="M46" s="30">
        <f t="shared" si="17"/>
        <v>0.17779057590050207</v>
      </c>
      <c r="N46" s="30">
        <f t="shared" si="18"/>
        <v>0.1881444490691164</v>
      </c>
      <c r="O46" s="30">
        <f t="shared" si="19"/>
        <v>0.18825980355618974</v>
      </c>
      <c r="P46" s="30">
        <f t="shared" si="20"/>
        <v>0.18286343032450672</v>
      </c>
      <c r="Q46" s="30">
        <f t="shared" si="21"/>
        <v>0.17556646686879751</v>
      </c>
      <c r="R46" s="30">
        <f t="shared" si="22"/>
        <v>0.17092984076925277</v>
      </c>
    </row>
    <row r="47" spans="1:18" x14ac:dyDescent="0.3">
      <c r="A47" s="28" t="s">
        <v>44</v>
      </c>
      <c r="B47" s="29">
        <v>5025.7534203436089</v>
      </c>
      <c r="C47" s="29">
        <v>5477.6053720202281</v>
      </c>
      <c r="D47" s="29">
        <v>5903.7671091791899</v>
      </c>
      <c r="E47" s="29">
        <v>6088.7867733094508</v>
      </c>
      <c r="F47" s="29">
        <v>6134.3258222378954</v>
      </c>
      <c r="G47" s="29">
        <v>6084.9989599343799</v>
      </c>
      <c r="H47" s="29">
        <v>6045.6847986912835</v>
      </c>
      <c r="J47" s="29"/>
      <c r="K47" s="30"/>
      <c r="L47" s="30">
        <f t="shared" si="16"/>
        <v>0.19093356965061961</v>
      </c>
      <c r="M47" s="30">
        <f t="shared" si="17"/>
        <v>0.2044645528936255</v>
      </c>
      <c r="N47" s="30">
        <f t="shared" si="18"/>
        <v>0.21560759291429366</v>
      </c>
      <c r="O47" s="30">
        <f t="shared" si="19"/>
        <v>0.21741784586000534</v>
      </c>
      <c r="P47" s="30">
        <f t="shared" si="20"/>
        <v>0.21455443399104249</v>
      </c>
      <c r="Q47" s="30">
        <f t="shared" si="21"/>
        <v>0.20866907718988995</v>
      </c>
      <c r="R47" s="30">
        <f t="shared" si="22"/>
        <v>0.20334616389261315</v>
      </c>
    </row>
    <row r="48" spans="1:18" s="13" customFormat="1" x14ac:dyDescent="0.3">
      <c r="A48" s="28" t="s">
        <v>20</v>
      </c>
      <c r="B48" s="29">
        <v>167453.45394164682</v>
      </c>
      <c r="C48" s="29">
        <v>193910.46328044147</v>
      </c>
      <c r="D48" s="29">
        <v>213628.74244051767</v>
      </c>
      <c r="E48" s="29">
        <v>225956.01687368637</v>
      </c>
      <c r="F48" s="29">
        <v>229450.56492865359</v>
      </c>
      <c r="G48" s="29">
        <v>231103.32249564119</v>
      </c>
      <c r="H48" s="29">
        <v>238966.5415706705</v>
      </c>
      <c r="J48" s="29"/>
      <c r="K48" s="30"/>
      <c r="L48" s="30">
        <f t="shared" si="16"/>
        <v>0.12678270365383079</v>
      </c>
      <c r="M48" s="30">
        <f t="shared" si="17"/>
        <v>0.1397963965479157</v>
      </c>
      <c r="N48" s="30">
        <f t="shared" si="18"/>
        <v>0.14793814195062163</v>
      </c>
      <c r="O48" s="30">
        <f t="shared" si="19"/>
        <v>0.1489708572592508</v>
      </c>
      <c r="P48" s="30">
        <f t="shared" si="20"/>
        <v>0.14600996067932079</v>
      </c>
      <c r="Q48" s="30">
        <f t="shared" si="21"/>
        <v>0.14290822560477953</v>
      </c>
      <c r="R48" s="30">
        <f t="shared" si="22"/>
        <v>0.14371204347487274</v>
      </c>
    </row>
    <row r="49" spans="1:18" x14ac:dyDescent="0.3">
      <c r="A49" s="28" t="s">
        <v>45</v>
      </c>
      <c r="B49" s="29">
        <v>5268.0272290443136</v>
      </c>
      <c r="C49" s="29">
        <v>5840.6466119667039</v>
      </c>
      <c r="D49" s="29">
        <v>6275.1961567952985</v>
      </c>
      <c r="E49" s="29">
        <v>6432.5646476136571</v>
      </c>
      <c r="F49" s="29">
        <v>6409.3183009183094</v>
      </c>
      <c r="G49" s="29">
        <v>6215.9814231031341</v>
      </c>
      <c r="H49" s="29">
        <v>5977.2033831853487</v>
      </c>
      <c r="J49" s="29"/>
      <c r="K49" s="30"/>
      <c r="L49" s="30">
        <f t="shared" si="16"/>
        <v>0.20723131383676144</v>
      </c>
      <c r="M49" s="30">
        <f t="shared" si="17"/>
        <v>0.23052757388564499</v>
      </c>
      <c r="N49" s="30">
        <f t="shared" si="18"/>
        <v>0.24967955106017184</v>
      </c>
      <c r="O49" s="30">
        <f t="shared" si="19"/>
        <v>0.2573025859045463</v>
      </c>
      <c r="P49" s="30">
        <f t="shared" si="20"/>
        <v>0.25845067546749095</v>
      </c>
      <c r="Q49" s="30">
        <f t="shared" si="21"/>
        <v>0.25308340145365155</v>
      </c>
      <c r="R49" s="30">
        <f t="shared" si="22"/>
        <v>0.2457327488564936</v>
      </c>
    </row>
    <row r="50" spans="1:18" x14ac:dyDescent="0.3">
      <c r="A50" s="28" t="s">
        <v>46</v>
      </c>
      <c r="B50" s="29">
        <v>11518.269740320073</v>
      </c>
      <c r="C50" s="29">
        <v>13161.189408302933</v>
      </c>
      <c r="D50" s="29">
        <v>14210.331721780642</v>
      </c>
      <c r="E50" s="29">
        <v>14657.500288361678</v>
      </c>
      <c r="F50" s="29">
        <v>14434.076488026163</v>
      </c>
      <c r="G50" s="29">
        <v>13974.471910577578</v>
      </c>
      <c r="H50" s="29">
        <v>13630.718425949646</v>
      </c>
      <c r="J50" s="29"/>
      <c r="K50" s="30"/>
      <c r="L50" s="30">
        <f t="shared" si="16"/>
        <v>0.19192318154328203</v>
      </c>
      <c r="M50" s="30">
        <f t="shared" si="17"/>
        <v>0.21418069306746945</v>
      </c>
      <c r="N50" s="30">
        <f t="shared" si="18"/>
        <v>0.22689699215667894</v>
      </c>
      <c r="O50" s="30">
        <f t="shared" si="19"/>
        <v>0.22795490339598254</v>
      </c>
      <c r="P50" s="30">
        <f t="shared" si="20"/>
        <v>0.22067079174478152</v>
      </c>
      <c r="Q50" s="30">
        <f t="shared" si="21"/>
        <v>0.21096408433715633</v>
      </c>
      <c r="R50" s="30">
        <f t="shared" si="22"/>
        <v>0.20322516737162521</v>
      </c>
    </row>
    <row r="51" spans="1:18" s="13" customFormat="1" x14ac:dyDescent="0.3">
      <c r="A51" s="28" t="s">
        <v>21</v>
      </c>
      <c r="B51" s="29">
        <v>30394.100466030319</v>
      </c>
      <c r="C51" s="29">
        <v>35524.48214747187</v>
      </c>
      <c r="D51" s="29">
        <v>39785.479053336938</v>
      </c>
      <c r="E51" s="29">
        <v>43360.682849801524</v>
      </c>
      <c r="F51" s="29">
        <v>43747.156178680074</v>
      </c>
      <c r="G51" s="29">
        <v>42727.741125733693</v>
      </c>
      <c r="H51" s="29">
        <v>42758.459905400305</v>
      </c>
      <c r="J51" s="29"/>
      <c r="K51" s="30"/>
      <c r="L51" s="30">
        <f t="shared" si="16"/>
        <v>0.17280863111290071</v>
      </c>
      <c r="M51" s="30">
        <f t="shared" si="17"/>
        <v>0.18868100440556979</v>
      </c>
      <c r="N51" s="30">
        <f t="shared" si="18"/>
        <v>0.20086270745299434</v>
      </c>
      <c r="O51" s="30">
        <f t="shared" si="19"/>
        <v>0.20231370658349748</v>
      </c>
      <c r="P51" s="30">
        <f t="shared" si="20"/>
        <v>0.19600419444288661</v>
      </c>
      <c r="Q51" s="30">
        <f t="shared" si="21"/>
        <v>0.18709137497639319</v>
      </c>
      <c r="R51" s="30">
        <f t="shared" si="22"/>
        <v>0.18306956511020669</v>
      </c>
    </row>
    <row r="52" spans="1:18" x14ac:dyDescent="0.3">
      <c r="A52" s="28" t="s">
        <v>47</v>
      </c>
      <c r="B52" s="29">
        <v>8516.8700083837102</v>
      </c>
      <c r="C52" s="29">
        <v>9472.448905756557</v>
      </c>
      <c r="D52" s="29">
        <v>10309.258544901997</v>
      </c>
      <c r="E52" s="29">
        <v>10586.632018666973</v>
      </c>
      <c r="F52" s="29">
        <v>10633.925894637325</v>
      </c>
      <c r="G52" s="29">
        <v>10539.978521362662</v>
      </c>
      <c r="H52" s="29">
        <v>10391.986514146503</v>
      </c>
      <c r="J52" s="29"/>
      <c r="K52" s="30"/>
      <c r="L52" s="30">
        <f t="shared" si="16"/>
        <v>0.19598384629366292</v>
      </c>
      <c r="M52" s="30">
        <f t="shared" si="17"/>
        <v>0.21824410537881156</v>
      </c>
      <c r="N52" s="30">
        <f t="shared" si="18"/>
        <v>0.23582346383250977</v>
      </c>
      <c r="O52" s="30">
        <f t="shared" si="19"/>
        <v>0.24021219864464907</v>
      </c>
      <c r="P52" s="30">
        <f t="shared" si="20"/>
        <v>0.23968097673129404</v>
      </c>
      <c r="Q52" s="30">
        <f t="shared" si="21"/>
        <v>0.23608947498796387</v>
      </c>
      <c r="R52" s="30">
        <f t="shared" si="22"/>
        <v>0.231339162399468</v>
      </c>
    </row>
    <row r="53" spans="1:18" s="13" customFormat="1" x14ac:dyDescent="0.3">
      <c r="A53" s="28" t="s">
        <v>22</v>
      </c>
      <c r="B53" s="29">
        <v>6835.9000201979416</v>
      </c>
      <c r="C53" s="29">
        <v>8236.1719782820874</v>
      </c>
      <c r="D53" s="29">
        <v>9621.2623535657385</v>
      </c>
      <c r="E53" s="29">
        <v>10631.841983756542</v>
      </c>
      <c r="F53" s="29">
        <v>11328.997919047815</v>
      </c>
      <c r="G53" s="29">
        <v>11615.503680534097</v>
      </c>
      <c r="H53" s="29">
        <v>11942.17200349176</v>
      </c>
      <c r="J53" s="29"/>
      <c r="K53" s="30"/>
      <c r="L53" s="30">
        <f t="shared" si="16"/>
        <v>0.16594004175744481</v>
      </c>
      <c r="M53" s="30">
        <f t="shared" si="17"/>
        <v>0.18779178207583772</v>
      </c>
      <c r="N53" s="30">
        <f t="shared" si="18"/>
        <v>0.20823440294272655</v>
      </c>
      <c r="O53" s="30">
        <f t="shared" si="19"/>
        <v>0.21794153667787022</v>
      </c>
      <c r="P53" s="30">
        <f t="shared" si="20"/>
        <v>0.22171551987490104</v>
      </c>
      <c r="Q53" s="30">
        <f t="shared" si="21"/>
        <v>0.2180250709612977</v>
      </c>
      <c r="R53" s="30">
        <f t="shared" si="22"/>
        <v>0.21534887753118312</v>
      </c>
    </row>
    <row r="54" spans="1:18" x14ac:dyDescent="0.3">
      <c r="A54" s="28" t="s">
        <v>48</v>
      </c>
      <c r="B54" s="29">
        <v>11847.382721382288</v>
      </c>
      <c r="C54" s="29">
        <v>13065.107088143615</v>
      </c>
      <c r="D54" s="29">
        <v>13722.658217785562</v>
      </c>
      <c r="E54" s="29">
        <v>13691.281084917342</v>
      </c>
      <c r="F54" s="29">
        <v>13163.129618292447</v>
      </c>
      <c r="G54" s="29">
        <v>12424.390903522148</v>
      </c>
      <c r="H54" s="29">
        <v>11872.081704325754</v>
      </c>
      <c r="J54" s="29"/>
      <c r="K54" s="30"/>
      <c r="L54" s="30">
        <f t="shared" si="16"/>
        <v>0.18899868742733167</v>
      </c>
      <c r="M54" s="30">
        <f t="shared" si="17"/>
        <v>0.2085745065157027</v>
      </c>
      <c r="N54" s="30">
        <f t="shared" si="18"/>
        <v>0.21961172451085947</v>
      </c>
      <c r="O54" s="30">
        <f t="shared" si="19"/>
        <v>0.21880143645791139</v>
      </c>
      <c r="P54" s="30">
        <f t="shared" si="20"/>
        <v>0.21098816468379247</v>
      </c>
      <c r="Q54" s="30">
        <f t="shared" si="21"/>
        <v>0.20019643421024713</v>
      </c>
      <c r="R54" s="30">
        <f t="shared" si="22"/>
        <v>0.19231337703215057</v>
      </c>
    </row>
    <row r="55" spans="1:18" x14ac:dyDescent="0.3">
      <c r="A55" s="28" t="s">
        <v>49</v>
      </c>
      <c r="B55" s="29">
        <v>6150.5852701138065</v>
      </c>
      <c r="C55" s="29">
        <v>7455.1424754462578</v>
      </c>
      <c r="D55" s="29">
        <v>8446.8906780586403</v>
      </c>
      <c r="E55" s="29">
        <v>9230.6732808226843</v>
      </c>
      <c r="F55" s="29">
        <v>9721.5932169997359</v>
      </c>
      <c r="G55" s="29">
        <v>9969.9429885485388</v>
      </c>
      <c r="H55" s="29">
        <v>10150.549648476455</v>
      </c>
      <c r="J55" s="29"/>
      <c r="K55" s="30"/>
      <c r="L55" s="30">
        <f t="shared" si="16"/>
        <v>0.19030865033304892</v>
      </c>
      <c r="M55" s="30">
        <f t="shared" si="17"/>
        <v>0.22060550616814398</v>
      </c>
      <c r="N55" s="30">
        <f t="shared" si="18"/>
        <v>0.24109863502379444</v>
      </c>
      <c r="O55" s="30">
        <f t="shared" si="19"/>
        <v>0.25146901901061613</v>
      </c>
      <c r="P55" s="30">
        <f t="shared" si="20"/>
        <v>0.25658765881017037</v>
      </c>
      <c r="Q55" s="30">
        <f t="shared" si="21"/>
        <v>0.25680506371348277</v>
      </c>
      <c r="R55" s="30">
        <f t="shared" si="22"/>
        <v>0.25530835677037211</v>
      </c>
    </row>
    <row r="56" spans="1:18" x14ac:dyDescent="0.3">
      <c r="A56" s="28" t="s">
        <v>50</v>
      </c>
      <c r="B56" s="29">
        <v>5895.2318376363382</v>
      </c>
      <c r="C56" s="29">
        <v>7014.7884328124501</v>
      </c>
      <c r="D56" s="29">
        <v>7735.8421643889806</v>
      </c>
      <c r="E56" s="29">
        <v>8219.8292220324747</v>
      </c>
      <c r="F56" s="29">
        <v>8260.118317643306</v>
      </c>
      <c r="G56" s="29">
        <v>8184.7588364884014</v>
      </c>
      <c r="H56" s="29">
        <v>8142.6327794669614</v>
      </c>
      <c r="J56" s="29"/>
      <c r="K56" s="30"/>
      <c r="L56" s="30">
        <f t="shared" si="16"/>
        <v>0.17984782444968847</v>
      </c>
      <c r="M56" s="30">
        <f t="shared" si="17"/>
        <v>0.20493100884640525</v>
      </c>
      <c r="N56" s="30">
        <f t="shared" si="18"/>
        <v>0.222383779807652</v>
      </c>
      <c r="O56" s="30">
        <f t="shared" si="19"/>
        <v>0.23153144110282459</v>
      </c>
      <c r="P56" s="30">
        <f t="shared" si="20"/>
        <v>0.22923759658211387</v>
      </c>
      <c r="Q56" s="30">
        <f t="shared" si="21"/>
        <v>0.22440596705750562</v>
      </c>
      <c r="R56" s="30">
        <f t="shared" si="22"/>
        <v>0.22058984042117843</v>
      </c>
    </row>
    <row r="57" spans="1:18" s="13" customFormat="1" x14ac:dyDescent="0.3">
      <c r="A57" s="28" t="s">
        <v>23</v>
      </c>
      <c r="B57" s="29">
        <v>9301.4310750451768</v>
      </c>
      <c r="C57" s="29">
        <v>10845.787508461657</v>
      </c>
      <c r="D57" s="29">
        <v>12241.605438083901</v>
      </c>
      <c r="E57" s="29">
        <v>13471.531481885955</v>
      </c>
      <c r="F57" s="29">
        <v>14297.862898679134</v>
      </c>
      <c r="G57" s="29">
        <v>14903.468429168141</v>
      </c>
      <c r="H57" s="29">
        <v>15390.004924686025</v>
      </c>
      <c r="J57" s="29"/>
      <c r="K57" s="30"/>
      <c r="L57" s="30">
        <f t="shared" si="16"/>
        <v>0.16694961903731878</v>
      </c>
      <c r="M57" s="30">
        <f t="shared" si="17"/>
        <v>0.18220558603043524</v>
      </c>
      <c r="N57" s="30">
        <f t="shared" si="18"/>
        <v>0.19414170863664895</v>
      </c>
      <c r="O57" s="30">
        <f t="shared" si="19"/>
        <v>0.20144647369509752</v>
      </c>
      <c r="P57" s="30">
        <f t="shared" si="20"/>
        <v>0.203195664018747</v>
      </c>
      <c r="Q57" s="30">
        <f t="shared" si="21"/>
        <v>0.20225095577527061</v>
      </c>
      <c r="R57" s="30">
        <f t="shared" si="22"/>
        <v>0.19984683510610482</v>
      </c>
    </row>
    <row r="58" spans="1:18" x14ac:dyDescent="0.3">
      <c r="A58" s="28" t="s">
        <v>51</v>
      </c>
      <c r="B58" s="29">
        <v>13322.135618947919</v>
      </c>
      <c r="C58" s="29">
        <v>14863.916941896634</v>
      </c>
      <c r="D58" s="29">
        <v>15915.508412341351</v>
      </c>
      <c r="E58" s="29">
        <v>16210.245281169424</v>
      </c>
      <c r="F58" s="29">
        <v>15953.532183164683</v>
      </c>
      <c r="G58" s="29">
        <v>15539.245511630452</v>
      </c>
      <c r="H58" s="29">
        <v>14985.265038473161</v>
      </c>
      <c r="J58" s="31"/>
      <c r="K58" s="61"/>
      <c r="L58" s="30">
        <f t="shared" si="16"/>
        <v>0.17908503318924479</v>
      </c>
      <c r="M58" s="30">
        <f t="shared" si="17"/>
        <v>0.20116549069410378</v>
      </c>
      <c r="N58" s="30">
        <f t="shared" si="18"/>
        <v>0.21652279997743493</v>
      </c>
      <c r="O58" s="30">
        <f t="shared" si="19"/>
        <v>0.22151801471985338</v>
      </c>
      <c r="P58" s="30">
        <f t="shared" si="20"/>
        <v>0.21919612243638092</v>
      </c>
      <c r="Q58" s="30">
        <f t="shared" si="21"/>
        <v>0.21479957302891023</v>
      </c>
      <c r="R58" s="30">
        <f t="shared" si="22"/>
        <v>0.20840365813883821</v>
      </c>
    </row>
    <row r="59" spans="1:18" s="13" customFormat="1" x14ac:dyDescent="0.3">
      <c r="A59" s="28" t="s">
        <v>24</v>
      </c>
      <c r="B59" s="29">
        <v>7944.943919628131</v>
      </c>
      <c r="C59" s="29">
        <v>9305.645206743231</v>
      </c>
      <c r="D59" s="29">
        <v>11038.195057817276</v>
      </c>
      <c r="E59" s="29">
        <v>12295.930155843414</v>
      </c>
      <c r="F59" s="29">
        <v>13041.512056896092</v>
      </c>
      <c r="G59" s="29">
        <v>13626.922213637232</v>
      </c>
      <c r="H59" s="29">
        <v>14362.515824021793</v>
      </c>
      <c r="J59" s="31"/>
      <c r="K59" s="61"/>
      <c r="L59" s="30">
        <f t="shared" si="16"/>
        <v>0.13216461921728934</v>
      </c>
      <c r="M59" s="30">
        <f t="shared" si="17"/>
        <v>0.14600525938249362</v>
      </c>
      <c r="N59" s="30">
        <f t="shared" si="18"/>
        <v>0.15807918223348097</v>
      </c>
      <c r="O59" s="30">
        <f t="shared" si="19"/>
        <v>0.16126021529257331</v>
      </c>
      <c r="P59" s="30">
        <f t="shared" si="20"/>
        <v>0.15847271470801502</v>
      </c>
      <c r="Q59" s="30">
        <f t="shared" si="21"/>
        <v>0.15458262581690049</v>
      </c>
      <c r="R59" s="30">
        <f t="shared" si="22"/>
        <v>0.1527732185680743</v>
      </c>
    </row>
    <row r="60" spans="1:18" s="19" customFormat="1" x14ac:dyDescent="0.3">
      <c r="A60" s="32" t="s">
        <v>86</v>
      </c>
      <c r="B60" s="33">
        <f t="shared" ref="B60:H60" si="23">SUM(B45:B59)</f>
        <v>346533.08866926492</v>
      </c>
      <c r="C60" s="33">
        <f t="shared" si="23"/>
        <v>404844.62578179111</v>
      </c>
      <c r="D60" s="33">
        <f t="shared" si="23"/>
        <v>453403.24955872202</v>
      </c>
      <c r="E60" s="33">
        <f t="shared" si="23"/>
        <v>487806.57473609276</v>
      </c>
      <c r="F60" s="33">
        <f t="shared" si="23"/>
        <v>502946.21437507658</v>
      </c>
      <c r="G60" s="33">
        <f t="shared" si="23"/>
        <v>510400.36368997017</v>
      </c>
      <c r="H60" s="33">
        <f t="shared" si="23"/>
        <v>525918.39621939929</v>
      </c>
      <c r="J60" s="58"/>
      <c r="K60" s="62"/>
      <c r="L60" s="34">
        <f t="shared" si="16"/>
        <v>0.14568661184605564</v>
      </c>
      <c r="M60" s="34">
        <f t="shared" si="17"/>
        <v>0.16099192615142116</v>
      </c>
      <c r="N60" s="34">
        <f t="shared" si="18"/>
        <v>0.17198763001254511</v>
      </c>
      <c r="O60" s="34">
        <f t="shared" si="19"/>
        <v>0.17506344070607716</v>
      </c>
      <c r="P60" s="34">
        <f t="shared" si="20"/>
        <v>0.17319519890654161</v>
      </c>
      <c r="Q60" s="34">
        <f t="shared" si="21"/>
        <v>0.16984833582358758</v>
      </c>
      <c r="R60" s="34">
        <f t="shared" si="22"/>
        <v>0.16931546860156216</v>
      </c>
    </row>
    <row r="63" spans="1:18" x14ac:dyDescent="0.3">
      <c r="B63" s="50" t="s">
        <v>144</v>
      </c>
    </row>
  </sheetData>
  <mergeCells count="10">
    <mergeCell ref="L43:R43"/>
    <mergeCell ref="C43:H43"/>
    <mergeCell ref="A42:Q42"/>
    <mergeCell ref="C1:R1"/>
    <mergeCell ref="A2:R2"/>
    <mergeCell ref="A22:Q22"/>
    <mergeCell ref="K23:R23"/>
    <mergeCell ref="C23:H23"/>
    <mergeCell ref="C3:H3"/>
    <mergeCell ref="L3:R3"/>
  </mergeCells>
  <pageMargins left="0.7" right="0.7" top="0.75" bottom="0.75" header="0.3" footer="0.3"/>
  <pageSetup orientation="portrait" horizontalDpi="1200" verticalDpi="1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B98E4-183F-462A-B16A-057CFFC166E1}">
  <dimension ref="A1:R46"/>
  <sheetViews>
    <sheetView workbookViewId="0"/>
  </sheetViews>
  <sheetFormatPr defaultRowHeight="14.4" x14ac:dyDescent="0.3"/>
  <cols>
    <col min="1" max="1" width="20.109375" customWidth="1"/>
    <col min="2" max="2" width="10.6640625" customWidth="1"/>
    <col min="3" max="3" width="11.33203125" bestFit="1" customWidth="1"/>
    <col min="4" max="4" width="11.109375" customWidth="1"/>
    <col min="5" max="5" width="11.33203125" bestFit="1" customWidth="1"/>
    <col min="6" max="6" width="10.6640625" customWidth="1"/>
    <col min="7" max="7" width="11.33203125" customWidth="1"/>
    <col min="8" max="8" width="10.6640625" bestFit="1" customWidth="1"/>
    <col min="9" max="9" width="11.33203125" customWidth="1"/>
    <col min="10" max="10" width="2.33203125" customWidth="1"/>
    <col min="11" max="11" width="11.33203125" bestFit="1" customWidth="1"/>
    <col min="12" max="12" width="10.44140625" customWidth="1"/>
    <col min="13" max="13" width="11.33203125" bestFit="1" customWidth="1"/>
    <col min="14" max="14" width="10.88671875" customWidth="1"/>
    <col min="15" max="15" width="11.33203125" bestFit="1" customWidth="1"/>
    <col min="16" max="16" width="10.88671875" customWidth="1"/>
    <col min="17" max="17" width="11.33203125" bestFit="1" customWidth="1"/>
  </cols>
  <sheetData>
    <row r="1" spans="1:18" ht="65.25" customHeight="1" x14ac:dyDescent="0.4">
      <c r="C1" s="88" t="s">
        <v>71</v>
      </c>
      <c r="D1" s="88"/>
      <c r="E1" s="88"/>
      <c r="F1" s="88"/>
      <c r="G1" s="88"/>
      <c r="H1" s="88"/>
      <c r="I1" s="88"/>
      <c r="J1" s="88"/>
      <c r="K1" s="88"/>
      <c r="L1" s="88"/>
      <c r="M1" s="88"/>
      <c r="N1" s="88"/>
      <c r="O1" s="88"/>
      <c r="P1" s="88"/>
      <c r="Q1" s="88"/>
      <c r="R1" s="88"/>
    </row>
    <row r="2" spans="1:18" s="9" customFormat="1" ht="26.25" customHeight="1" x14ac:dyDescent="0.3">
      <c r="A2" s="90" t="s">
        <v>13</v>
      </c>
      <c r="B2" s="90"/>
      <c r="C2" s="90"/>
      <c r="D2" s="90"/>
      <c r="E2" s="90"/>
      <c r="F2" s="90"/>
      <c r="G2" s="90"/>
      <c r="H2" s="90"/>
      <c r="I2" s="90"/>
      <c r="J2" s="90"/>
      <c r="K2" s="90"/>
      <c r="L2" s="90"/>
      <c r="M2" s="90"/>
      <c r="N2" s="90"/>
      <c r="O2" s="90"/>
      <c r="P2" s="90"/>
      <c r="Q2" s="90"/>
      <c r="R2" s="90"/>
    </row>
    <row r="3" spans="1:18" s="9" customFormat="1" ht="15.75" customHeight="1" x14ac:dyDescent="0.3">
      <c r="A3" s="10"/>
      <c r="B3" s="18" t="s">
        <v>60</v>
      </c>
      <c r="C3" s="93" t="s">
        <v>61</v>
      </c>
      <c r="D3" s="93"/>
      <c r="E3" s="93"/>
      <c r="F3" s="93"/>
      <c r="G3" s="93"/>
      <c r="H3" s="93"/>
      <c r="I3" s="51"/>
      <c r="J3" s="10"/>
      <c r="L3" s="93" t="s">
        <v>76</v>
      </c>
      <c r="M3" s="93"/>
      <c r="N3" s="93"/>
      <c r="O3" s="93"/>
      <c r="P3" s="93"/>
      <c r="Q3" s="93"/>
      <c r="R3" s="93"/>
    </row>
    <row r="4" spans="1:18" x14ac:dyDescent="0.3">
      <c r="A4" s="48" t="s">
        <v>0</v>
      </c>
      <c r="B4" s="4">
        <v>2020</v>
      </c>
      <c r="C4" s="4">
        <v>2025</v>
      </c>
      <c r="D4" s="4">
        <v>2030</v>
      </c>
      <c r="E4" s="4">
        <v>2035</v>
      </c>
      <c r="F4" s="4">
        <v>2040</v>
      </c>
      <c r="G4" s="4">
        <v>2045</v>
      </c>
      <c r="H4" s="4">
        <v>2050</v>
      </c>
      <c r="K4" s="4"/>
      <c r="L4" s="4">
        <v>2020</v>
      </c>
      <c r="M4" s="4">
        <v>2025</v>
      </c>
      <c r="N4" s="4">
        <v>2030</v>
      </c>
      <c r="O4" s="4">
        <v>2035</v>
      </c>
      <c r="P4" s="4">
        <v>2040</v>
      </c>
      <c r="Q4" s="4">
        <v>2045</v>
      </c>
      <c r="R4" s="4">
        <v>2050</v>
      </c>
    </row>
    <row r="5" spans="1:18" s="13" customFormat="1" x14ac:dyDescent="0.3">
      <c r="A5" s="36" t="s">
        <v>18</v>
      </c>
      <c r="B5" s="52">
        <v>74757.394366197186</v>
      </c>
      <c r="C5" s="52">
        <v>85864.788732394372</v>
      </c>
      <c r="D5" s="52">
        <v>96455.985915492958</v>
      </c>
      <c r="E5" s="52">
        <v>108058.80281690141</v>
      </c>
      <c r="F5" s="52">
        <v>118505.63380281691</v>
      </c>
      <c r="G5" s="52">
        <v>128374.29577464789</v>
      </c>
      <c r="H5" s="52">
        <v>138242.95774647887</v>
      </c>
      <c r="J5" s="37"/>
      <c r="K5" s="44"/>
      <c r="L5" s="44">
        <f>'Group Quarters and Households'!B25/'Households and Housing Units'!B5</f>
        <v>2.8267036564285415</v>
      </c>
      <c r="M5" s="44">
        <f>'Group Quarters and Households'!C25/'Households and Housing Units'!C5</f>
        <v>2.8388703169083396</v>
      </c>
      <c r="N5" s="44">
        <f>'Group Quarters and Households'!D25/'Households and Housing Units'!D5</f>
        <v>2.8389010531695473</v>
      </c>
      <c r="O5" s="44">
        <f>'Group Quarters and Households'!E25/'Households and Housing Units'!E5</f>
        <v>2.8389912899536305</v>
      </c>
      <c r="P5" s="44">
        <f>'Group Quarters and Households'!F25/'Households and Housing Units'!F5</f>
        <v>2.839105527757638</v>
      </c>
      <c r="Q5" s="44">
        <f>'Group Quarters and Households'!G25/'Households and Housing Units'!G5</f>
        <v>2.8391197614809247</v>
      </c>
      <c r="R5" s="44">
        <f>'Group Quarters and Households'!H25/'Households and Housing Units'!H5</f>
        <v>2.8391030284506265</v>
      </c>
    </row>
    <row r="6" spans="1:18" s="13" customFormat="1" x14ac:dyDescent="0.3">
      <c r="A6" s="36" t="s">
        <v>19</v>
      </c>
      <c r="B6" s="52">
        <v>58303.358208955222</v>
      </c>
      <c r="C6" s="52">
        <v>61898.507462686561</v>
      </c>
      <c r="D6" s="52">
        <v>65288.805970149253</v>
      </c>
      <c r="E6" s="52">
        <v>69083.208955223876</v>
      </c>
      <c r="F6" s="52">
        <v>72415.298507462678</v>
      </c>
      <c r="G6" s="52">
        <v>75516.417910447752</v>
      </c>
      <c r="H6" s="52">
        <v>78617.537313432826</v>
      </c>
      <c r="J6" s="37"/>
      <c r="K6" s="44"/>
      <c r="L6" s="44">
        <f>'Group Quarters and Households'!B26/'Households and Housing Units'!B6</f>
        <v>2.6720073214594282</v>
      </c>
      <c r="M6" s="44">
        <f>'Group Quarters and Households'!C26/'Households and Housing Units'!C6</f>
        <v>2.678966049382717</v>
      </c>
      <c r="N6" s="44">
        <f>'Group Quarters and Households'!D26/'Households and Housing Units'!D6</f>
        <v>2.678744041971949</v>
      </c>
      <c r="O6" s="44">
        <f>'Group Quarters and Households'!E26/'Households and Housing Units'!E6</f>
        <v>2.678856451499652</v>
      </c>
      <c r="P6" s="44">
        <f>'Group Quarters and Households'!F26/'Households and Housing Units'!F6</f>
        <v>2.6790885903757866</v>
      </c>
      <c r="Q6" s="44">
        <f>'Group Quarters and Households'!G26/'Households and Housing Units'!G6</f>
        <v>2.6793246501699741</v>
      </c>
      <c r="R6" s="44">
        <f>'Group Quarters and Households'!H26/'Households and Housing Units'!H6</f>
        <v>2.6794657680533467</v>
      </c>
    </row>
    <row r="7" spans="1:18" x14ac:dyDescent="0.3">
      <c r="A7" s="36" t="s">
        <v>44</v>
      </c>
      <c r="B7" s="52">
        <v>11875.103734439834</v>
      </c>
      <c r="C7" s="52">
        <v>12071.784232365144</v>
      </c>
      <c r="D7" s="52">
        <v>12314.937759336099</v>
      </c>
      <c r="E7" s="52">
        <v>12570.539419087136</v>
      </c>
      <c r="F7" s="52">
        <v>12811.203319502074</v>
      </c>
      <c r="G7" s="52">
        <v>13044.813278008298</v>
      </c>
      <c r="H7" s="52">
        <v>13278.838174273858</v>
      </c>
      <c r="J7" s="37"/>
      <c r="K7" s="44"/>
      <c r="L7" s="44">
        <f>'Group Quarters and Households'!B27/'Households and Housing Units'!B7</f>
        <v>2.4098315804186026</v>
      </c>
      <c r="M7" s="44">
        <f>'Group Quarters and Households'!C27/'Households and Housing Units'!C7</f>
        <v>2.4075148661189982</v>
      </c>
      <c r="N7" s="44">
        <f>'Group Quarters and Households'!D27/'Households and Housing Units'!D7</f>
        <v>2.4061022945517037</v>
      </c>
      <c r="O7" s="44">
        <f>'Group Quarters and Households'!E27/'Households and Housing Units'!E7</f>
        <v>2.4059428948671404</v>
      </c>
      <c r="P7" s="44">
        <f>'Group Quarters and Households'!F27/'Households and Housing Units'!F7</f>
        <v>2.4062532793522267</v>
      </c>
      <c r="Q7" s="44">
        <f>'Group Quarters and Households'!G27/'Households and Housing Units'!G7</f>
        <v>2.406856988358038</v>
      </c>
      <c r="R7" s="44">
        <f>'Group Quarters and Households'!H27/'Households and Housing Units'!H7</f>
        <v>2.4074395350290616</v>
      </c>
    </row>
    <row r="8" spans="1:18" s="13" customFormat="1" x14ac:dyDescent="0.3">
      <c r="A8" s="36" t="s">
        <v>20</v>
      </c>
      <c r="B8" s="52">
        <v>526242.27642276429</v>
      </c>
      <c r="C8" s="52">
        <v>552519.91869918699</v>
      </c>
      <c r="D8" s="52">
        <v>575160.56910569104</v>
      </c>
      <c r="E8" s="52">
        <v>604077.23577235779</v>
      </c>
      <c r="F8" s="52">
        <v>625821.13821138209</v>
      </c>
      <c r="G8" s="52">
        <v>643977.64227642282</v>
      </c>
      <c r="H8" s="52">
        <v>662134.14634146343</v>
      </c>
      <c r="J8" s="37"/>
      <c r="K8" s="44"/>
      <c r="L8" s="44">
        <f>'Group Quarters and Households'!B28/'Households and Housing Units'!B8</f>
        <v>2.4593444084303804</v>
      </c>
      <c r="M8" s="44">
        <f>'Group Quarters and Households'!C28/'Households and Housing Units'!C8</f>
        <v>2.4598172011603889</v>
      </c>
      <c r="N8" s="44">
        <f>'Group Quarters and Households'!D28/'Households and Housing Units'!D8</f>
        <v>2.4597844080302789</v>
      </c>
      <c r="O8" s="44">
        <f>'Group Quarters and Households'!E28/'Households and Housing Units'!E8</f>
        <v>2.4595778685490863</v>
      </c>
      <c r="P8" s="44">
        <f>'Group Quarters and Households'!F28/'Households and Housing Units'!F8</f>
        <v>2.4594966612970279</v>
      </c>
      <c r="Q8" s="44">
        <f>'Group Quarters and Households'!G28/'Households and Housing Units'!G8</f>
        <v>2.4593167464658481</v>
      </c>
      <c r="R8" s="44">
        <f>'Group Quarters and Households'!H28/'Households and Housing Units'!H8</f>
        <v>2.4592690302974485</v>
      </c>
    </row>
    <row r="9" spans="1:18" x14ac:dyDescent="0.3">
      <c r="A9" s="36" t="s">
        <v>45</v>
      </c>
      <c r="B9" s="52">
        <v>11423.236514522821</v>
      </c>
      <c r="C9" s="52">
        <v>11409.543568464729</v>
      </c>
      <c r="D9" s="52">
        <v>11326.556016597509</v>
      </c>
      <c r="E9" s="52">
        <v>11272.199170124481</v>
      </c>
      <c r="F9" s="52">
        <v>11190.456431535269</v>
      </c>
      <c r="G9" s="52">
        <v>11093.360995850622</v>
      </c>
      <c r="H9" s="52">
        <v>10996.68049792531</v>
      </c>
      <c r="J9" s="37"/>
      <c r="K9" s="44"/>
      <c r="L9" s="44">
        <f>'Group Quarters and Households'!B29/'Households and Housing Units'!B9</f>
        <v>2.4137642571739923</v>
      </c>
      <c r="M9" s="44">
        <f>'Group Quarters and Households'!C29/'Households and Housing Units'!C9</f>
        <v>2.4080717896497812</v>
      </c>
      <c r="N9" s="44">
        <f>'Group Quarters and Households'!D29/'Households and Housing Units'!D9</f>
        <v>2.4072630692017438</v>
      </c>
      <c r="O9" s="44">
        <f>'Group Quarters and Households'!E29/'Households and Housing Units'!E9</f>
        <v>2.4068950158286095</v>
      </c>
      <c r="P9" s="44">
        <f>'Group Quarters and Households'!F29/'Households and Housing Units'!F9</f>
        <v>2.4067829730431241</v>
      </c>
      <c r="Q9" s="44">
        <f>'Group Quarters and Households'!G29/'Households and Housing Units'!G9</f>
        <v>2.406935103796521</v>
      </c>
      <c r="R9" s="44">
        <f>'Group Quarters and Households'!H29/'Households and Housing Units'!H9</f>
        <v>2.4072719040072443</v>
      </c>
    </row>
    <row r="10" spans="1:18" x14ac:dyDescent="0.3">
      <c r="A10" s="36" t="s">
        <v>46</v>
      </c>
      <c r="B10" s="52">
        <v>23410.317460317459</v>
      </c>
      <c r="C10" s="52">
        <v>23929.365079365078</v>
      </c>
      <c r="D10" s="52">
        <v>24370.238095238095</v>
      </c>
      <c r="E10" s="52">
        <v>24994.841269841269</v>
      </c>
      <c r="F10" s="52">
        <v>25409.523809523809</v>
      </c>
      <c r="G10" s="52">
        <v>25719.841269841269</v>
      </c>
      <c r="H10" s="52">
        <v>26030.555555555555</v>
      </c>
      <c r="J10" s="37"/>
      <c r="K10" s="44"/>
      <c r="L10" s="44">
        <f>'Group Quarters and Households'!B30/'Households and Housing Units'!B10</f>
        <v>2.5208970403769877</v>
      </c>
      <c r="M10" s="44">
        <f>'Group Quarters and Households'!C30/'Households and Housing Units'!C10</f>
        <v>2.5253072866571595</v>
      </c>
      <c r="N10" s="44">
        <f>'Group Quarters and Households'!D30/'Households and Housing Units'!D10</f>
        <v>2.5267295198085091</v>
      </c>
      <c r="O10" s="44">
        <f>'Group Quarters and Households'!E30/'Households and Housing Units'!E10</f>
        <v>2.5274815438106275</v>
      </c>
      <c r="P10" s="44">
        <f>'Group Quarters and Households'!F30/'Households and Housing Units'!F10</f>
        <v>2.5271626686656679</v>
      </c>
      <c r="Q10" s="44">
        <f>'Group Quarters and Households'!G30/'Households and Housing Units'!G10</f>
        <v>2.5263375196716771</v>
      </c>
      <c r="R10" s="44">
        <f>'Group Quarters and Households'!H30/'Households and Housing Units'!H10</f>
        <v>2.5256472094760434</v>
      </c>
    </row>
    <row r="11" spans="1:18" s="13" customFormat="1" x14ac:dyDescent="0.3">
      <c r="A11" s="36" t="s">
        <v>21</v>
      </c>
      <c r="B11" s="52">
        <v>65657.518796992474</v>
      </c>
      <c r="C11" s="52">
        <v>70153.383458646611</v>
      </c>
      <c r="D11" s="52">
        <v>73752.631578947359</v>
      </c>
      <c r="E11" s="52">
        <v>79724.436090225558</v>
      </c>
      <c r="F11" s="52">
        <v>82984.210526315786</v>
      </c>
      <c r="G11" s="52">
        <v>84889.097744360901</v>
      </c>
      <c r="H11" s="52">
        <v>86794.360902255634</v>
      </c>
      <c r="J11" s="37"/>
      <c r="K11" s="44"/>
      <c r="L11" s="44">
        <f>'Group Quarters and Households'!B31/'Households and Housing Units'!B11</f>
        <v>2.657212809692584</v>
      </c>
      <c r="M11" s="44">
        <f>'Group Quarters and Households'!C31/'Households and Housing Units'!C11</f>
        <v>2.6598146917602676</v>
      </c>
      <c r="N11" s="44">
        <f>'Group Quarters and Households'!D31/'Households and Housing Units'!D11</f>
        <v>2.6599593234853347</v>
      </c>
      <c r="O11" s="44">
        <f>'Group Quarters and Households'!E31/'Households and Housing Units'!E11</f>
        <v>2.659949827177261</v>
      </c>
      <c r="P11" s="44">
        <f>'Group Quarters and Households'!F31/'Households and Housing Units'!F11</f>
        <v>2.6598433436925224</v>
      </c>
      <c r="Q11" s="44">
        <f>'Group Quarters and Households'!G31/'Households and Housing Units'!G11</f>
        <v>2.6595170168951081</v>
      </c>
      <c r="R11" s="44">
        <f>'Group Quarters and Households'!H31/'Households and Housing Units'!H11</f>
        <v>2.6592971893638491</v>
      </c>
    </row>
    <row r="12" spans="1:18" x14ac:dyDescent="0.3">
      <c r="A12" s="36" t="s">
        <v>47</v>
      </c>
      <c r="B12" s="52">
        <v>18911.203319502074</v>
      </c>
      <c r="C12" s="52">
        <v>18923.651452282156</v>
      </c>
      <c r="D12" s="52">
        <v>19051.452282157676</v>
      </c>
      <c r="E12" s="52">
        <v>19197.925311203318</v>
      </c>
      <c r="F12" s="52">
        <v>19318.672199170123</v>
      </c>
      <c r="G12" s="52">
        <v>19432.365145228214</v>
      </c>
      <c r="H12" s="52">
        <v>19546.058091286304</v>
      </c>
      <c r="J12" s="37"/>
      <c r="K12" s="44"/>
      <c r="L12" s="44">
        <f>'Group Quarters and Households'!B32/'Households and Housing Units'!B12</f>
        <v>2.4137015095664389</v>
      </c>
      <c r="M12" s="44">
        <f>'Group Quarters and Households'!C32/'Households and Housing Units'!C12</f>
        <v>2.407622023417971</v>
      </c>
      <c r="N12" s="44">
        <f>'Group Quarters and Households'!D32/'Households and Housing Units'!D12</f>
        <v>2.4064307182994296</v>
      </c>
      <c r="O12" s="44">
        <f>'Group Quarters and Households'!E32/'Households and Housing Units'!E12</f>
        <v>2.4060933278578682</v>
      </c>
      <c r="P12" s="44">
        <f>'Group Quarters and Households'!F32/'Households and Housing Units'!F12</f>
        <v>2.4061695089995281</v>
      </c>
      <c r="Q12" s="44">
        <f>'Group Quarters and Households'!G32/'Households and Housing Units'!G12</f>
        <v>2.4063977622138717</v>
      </c>
      <c r="R12" s="44">
        <f>'Group Quarters and Households'!H32/'Households and Housing Units'!H12</f>
        <v>2.406725682503291</v>
      </c>
    </row>
    <row r="13" spans="1:18" s="13" customFormat="1" x14ac:dyDescent="0.3">
      <c r="A13" s="36" t="s">
        <v>22</v>
      </c>
      <c r="B13" s="52">
        <v>14843.846153846152</v>
      </c>
      <c r="C13" s="52">
        <v>15746.153846153846</v>
      </c>
      <c r="D13" s="52">
        <v>16540.76923076923</v>
      </c>
      <c r="E13" s="52">
        <v>17414.23076923077</v>
      </c>
      <c r="F13" s="52">
        <v>18198.076923076922</v>
      </c>
      <c r="G13" s="52">
        <v>18936.153846153844</v>
      </c>
      <c r="H13" s="52">
        <v>19674.23076923077</v>
      </c>
      <c r="J13" s="37"/>
      <c r="K13" s="44"/>
      <c r="L13" s="44">
        <f>'Group Quarters and Households'!B33/'Households and Housing Units'!B13</f>
        <v>2.6012799917085569</v>
      </c>
      <c r="M13" s="44">
        <f>'Group Quarters and Households'!C33/'Households and Housing Units'!C13</f>
        <v>2.6048900830483626</v>
      </c>
      <c r="N13" s="44">
        <f>'Group Quarters and Households'!D33/'Households and Housing Units'!D13</f>
        <v>2.6087662186671632</v>
      </c>
      <c r="O13" s="44">
        <f>'Group Quarters and Households'!E33/'Households and Housing Units'!E13</f>
        <v>2.6105660710736132</v>
      </c>
      <c r="P13" s="44">
        <f>'Group Quarters and Households'!F33/'Households and Housing Units'!F13</f>
        <v>2.6090668921060969</v>
      </c>
      <c r="Q13" s="44">
        <f>'Group Quarters and Households'!G33/'Households and Housing Units'!G13</f>
        <v>2.6076573099890328</v>
      </c>
      <c r="R13" s="44">
        <f>'Group Quarters and Households'!H33/'Households and Housing Units'!H13</f>
        <v>2.6069634234551247</v>
      </c>
    </row>
    <row r="14" spans="1:18" x14ac:dyDescent="0.3">
      <c r="A14" s="36" t="s">
        <v>48</v>
      </c>
      <c r="B14" s="52">
        <v>24667.355371900827</v>
      </c>
      <c r="C14" s="52">
        <v>24649.173553719011</v>
      </c>
      <c r="D14" s="52">
        <v>24590.909090909092</v>
      </c>
      <c r="E14" s="52">
        <v>24623.14049586777</v>
      </c>
      <c r="F14" s="52">
        <v>24552.892561983474</v>
      </c>
      <c r="G14" s="52">
        <v>24429.338842975209</v>
      </c>
      <c r="H14" s="52">
        <v>24305.785123966944</v>
      </c>
      <c r="J14" s="37"/>
      <c r="K14" s="44"/>
      <c r="L14" s="44">
        <f>'Group Quarters and Households'!B34/'Households and Housing Units'!B14</f>
        <v>2.4217026551637497</v>
      </c>
      <c r="M14" s="44">
        <f>'Group Quarters and Households'!C34/'Households and Housing Units'!C14</f>
        <v>2.4251928718713849</v>
      </c>
      <c r="N14" s="44">
        <f>'Group Quarters and Households'!D34/'Households and Housing Units'!D14</f>
        <v>2.4264251386321618</v>
      </c>
      <c r="O14" s="44">
        <f>'Group Quarters and Households'!E34/'Households and Housing Units'!E14</f>
        <v>2.4239799959723425</v>
      </c>
      <c r="P14" s="44">
        <f>'Group Quarters and Households'!F34/'Households and Housing Units'!F14</f>
        <v>2.4212625803628529</v>
      </c>
      <c r="Q14" s="44">
        <f>'Group Quarters and Households'!G34/'Households and Housing Units'!G14</f>
        <v>2.420368409479186</v>
      </c>
      <c r="R14" s="44">
        <f>'Group Quarters and Households'!H34/'Households and Housing Units'!H14</f>
        <v>2.420493709622578</v>
      </c>
    </row>
    <row r="15" spans="1:18" x14ac:dyDescent="0.3">
      <c r="A15" s="36" t="s">
        <v>49</v>
      </c>
      <c r="B15" s="52">
        <v>12992.134831460675</v>
      </c>
      <c r="C15" s="52">
        <v>13535.205992509364</v>
      </c>
      <c r="D15" s="52">
        <v>13996.254681647941</v>
      </c>
      <c r="E15" s="52">
        <v>14617.602996254682</v>
      </c>
      <c r="F15" s="52">
        <v>15056.1797752809</v>
      </c>
      <c r="G15" s="52">
        <v>15403.745318352061</v>
      </c>
      <c r="H15" s="52">
        <v>15751.310861423221</v>
      </c>
      <c r="J15" s="37"/>
      <c r="K15" s="44"/>
      <c r="L15" s="44">
        <f>'Group Quarters and Households'!B35/'Households and Housing Units'!B15</f>
        <v>2.6683066678197691</v>
      </c>
      <c r="M15" s="44">
        <f>'Group Quarters and Households'!C35/'Households and Housing Units'!C15</f>
        <v>2.6675619137220177</v>
      </c>
      <c r="N15" s="44">
        <f>'Group Quarters and Households'!D35/'Households and Housing Units'!D15</f>
        <v>2.666427615734547</v>
      </c>
      <c r="O15" s="44">
        <f>'Group Quarters and Households'!E35/'Households and Housing Units'!E15</f>
        <v>2.6658953598606159</v>
      </c>
      <c r="P15" s="44">
        <f>'Group Quarters and Households'!F35/'Households and Housing Units'!F15</f>
        <v>2.665616417910448</v>
      </c>
      <c r="Q15" s="44">
        <f>'Group Quarters and Households'!G35/'Households and Housing Units'!G15</f>
        <v>2.6655854892044344</v>
      </c>
      <c r="R15" s="44">
        <f>'Group Quarters and Households'!H35/'Households and Housing Units'!H15</f>
        <v>2.6654924386532239</v>
      </c>
    </row>
    <row r="16" spans="1:18" x14ac:dyDescent="0.3">
      <c r="A16" s="36" t="s">
        <v>50</v>
      </c>
      <c r="B16" s="52">
        <v>13000</v>
      </c>
      <c r="C16" s="52">
        <v>13521.111111111109</v>
      </c>
      <c r="D16" s="52">
        <v>13724.814814814814</v>
      </c>
      <c r="E16" s="52">
        <v>13987.407407407407</v>
      </c>
      <c r="F16" s="52">
        <v>14182.222222222221</v>
      </c>
      <c r="G16" s="52">
        <v>14343.703703703703</v>
      </c>
      <c r="H16" s="52">
        <v>14505.185185185184</v>
      </c>
      <c r="J16" s="37"/>
      <c r="K16" s="44"/>
      <c r="L16" s="44">
        <f>'Group Quarters and Households'!B36/'Households and Housing Units'!B16</f>
        <v>2.6970000000000001</v>
      </c>
      <c r="M16" s="44">
        <f>'Group Quarters and Households'!C36/'Households and Housing Units'!C16</f>
        <v>2.6977072890130658</v>
      </c>
      <c r="N16" s="44">
        <f>'Group Quarters and Households'!D36/'Households and Housing Units'!D16</f>
        <v>2.696502685052756</v>
      </c>
      <c r="O16" s="44">
        <f>'Group Quarters and Households'!E36/'Households and Housing Units'!E16</f>
        <v>2.6958534131229137</v>
      </c>
      <c r="P16" s="44">
        <f>'Group Quarters and Households'!F36/'Households and Housing Units'!F16</f>
        <v>2.6959808837355053</v>
      </c>
      <c r="Q16" s="44">
        <f>'Group Quarters and Households'!G36/'Households and Housing Units'!G16</f>
        <v>2.6962352819665356</v>
      </c>
      <c r="R16" s="44">
        <f>'Group Quarters and Households'!H36/'Households and Housing Units'!H16</f>
        <v>2.696552956797059</v>
      </c>
    </row>
    <row r="17" spans="1:18" s="13" customFormat="1" x14ac:dyDescent="0.3">
      <c r="A17" s="36" t="s">
        <v>23</v>
      </c>
      <c r="B17" s="52">
        <v>19996.296296296296</v>
      </c>
      <c r="C17" s="52">
        <v>21267.777777777777</v>
      </c>
      <c r="D17" s="52">
        <v>22473.703703703701</v>
      </c>
      <c r="E17" s="52">
        <v>23778.148148148146</v>
      </c>
      <c r="F17" s="52">
        <v>24970.740740740741</v>
      </c>
      <c r="G17" s="52">
        <v>26107.407407407405</v>
      </c>
      <c r="H17" s="52">
        <v>27244.074074074073</v>
      </c>
      <c r="J17" s="37"/>
      <c r="K17" s="44"/>
      <c r="L17" s="44">
        <f>'Group Quarters and Households'!B37/'Households and Housing Units'!B17</f>
        <v>2.6960992776440076</v>
      </c>
      <c r="M17" s="44">
        <f>'Group Quarters and Households'!C37/'Households and Housing Units'!C17</f>
        <v>2.7009403897393027</v>
      </c>
      <c r="N17" s="44">
        <f>'Group Quarters and Households'!D37/'Households and Housing Units'!D17</f>
        <v>2.7017353614924446</v>
      </c>
      <c r="O17" s="44">
        <f>'Group Quarters and Households'!E37/'Households and Housing Units'!E17</f>
        <v>2.7018924938863891</v>
      </c>
      <c r="P17" s="44">
        <f>'Group Quarters and Households'!F37/'Households and Housing Units'!F17</f>
        <v>2.7008810311327331</v>
      </c>
      <c r="Q17" s="44">
        <f>'Group Quarters and Households'!G37/'Households and Housing Units'!G17</f>
        <v>2.7005745495815012</v>
      </c>
      <c r="R17" s="44">
        <f>'Group Quarters and Households'!H37/'Households and Housing Units'!H17</f>
        <v>2.70033034706834</v>
      </c>
    </row>
    <row r="18" spans="1:18" x14ac:dyDescent="0.3">
      <c r="A18" s="36" t="s">
        <v>51</v>
      </c>
      <c r="B18" s="52">
        <v>29150.409836065573</v>
      </c>
      <c r="C18" s="52">
        <v>29000.819672131147</v>
      </c>
      <c r="D18" s="52">
        <v>28854.508196721312</v>
      </c>
      <c r="E18" s="52">
        <v>28730.327868852459</v>
      </c>
      <c r="F18" s="52">
        <v>28579.918032786885</v>
      </c>
      <c r="G18" s="52">
        <v>28413.934426229509</v>
      </c>
      <c r="H18" s="52">
        <v>28247.950819672133</v>
      </c>
      <c r="J18" s="39"/>
      <c r="K18" s="44"/>
      <c r="L18" s="44">
        <f>'Group Quarters and Households'!B38/'Households and Housing Units'!B18</f>
        <v>2.4445625430567857</v>
      </c>
      <c r="M18" s="44">
        <f>'Group Quarters and Households'!C38/'Households and Housing Units'!C18</f>
        <v>2.4442757412170373</v>
      </c>
      <c r="N18" s="44">
        <f>'Group Quarters and Households'!D38/'Households and Housing Units'!D18</f>
        <v>2.4458223137561248</v>
      </c>
      <c r="O18" s="44">
        <f>'Group Quarters and Households'!E38/'Households and Housing Units'!E18</f>
        <v>2.4462651564862621</v>
      </c>
      <c r="P18" s="44">
        <f>'Group Quarters and Households'!F38/'Households and Housing Units'!F18</f>
        <v>2.4448635548863566</v>
      </c>
      <c r="Q18" s="44">
        <f>'Group Quarters and Households'!G38/'Households and Housing Units'!G18</f>
        <v>2.4443992499639404</v>
      </c>
      <c r="R18" s="44">
        <f>'Group Quarters and Households'!H38/'Households and Housing Units'!H18</f>
        <v>2.4438232861806308</v>
      </c>
    </row>
    <row r="19" spans="1:18" s="13" customFormat="1" x14ac:dyDescent="0.3">
      <c r="A19" s="36" t="s">
        <v>24</v>
      </c>
      <c r="B19" s="52">
        <v>22547.348484848484</v>
      </c>
      <c r="C19" s="52">
        <v>23737.878787878788</v>
      </c>
      <c r="D19" s="52">
        <v>25917.42424242424</v>
      </c>
      <c r="E19" s="52">
        <v>28215.151515151512</v>
      </c>
      <c r="F19" s="52">
        <v>30377.651515151512</v>
      </c>
      <c r="G19" s="52">
        <v>32472.727272727272</v>
      </c>
      <c r="H19" s="52">
        <v>34567.803030303032</v>
      </c>
      <c r="J19" s="39"/>
      <c r="K19" s="53"/>
      <c r="L19" s="44">
        <f>'Group Quarters and Households'!B39/'Households and Housing Units'!B19</f>
        <v>2.6245658126837466</v>
      </c>
      <c r="M19" s="44">
        <f>'Group Quarters and Households'!C39/'Households and Housing Units'!C19</f>
        <v>2.6389047041552307</v>
      </c>
      <c r="N19" s="44">
        <f>'Group Quarters and Households'!D39/'Households and Housing Units'!D19</f>
        <v>2.6416591154891704</v>
      </c>
      <c r="O19" s="44">
        <f>'Group Quarters and Households'!E39/'Households and Housing Units'!E19</f>
        <v>2.6431897755343128</v>
      </c>
      <c r="P19" s="44">
        <f>'Group Quarters and Households'!F39/'Households and Housing Units'!F19</f>
        <v>2.6431602179632647</v>
      </c>
      <c r="Q19" s="44">
        <f>'Group Quarters and Households'!G39/'Households and Housing Units'!G19</f>
        <v>2.64150895856663</v>
      </c>
      <c r="R19" s="44">
        <f>'Group Quarters and Households'!H39/'Households and Housing Units'!H19</f>
        <v>2.6400289286536109</v>
      </c>
    </row>
    <row r="20" spans="1:18" s="19" customFormat="1" x14ac:dyDescent="0.3">
      <c r="A20" s="40" t="s">
        <v>86</v>
      </c>
      <c r="B20" s="41">
        <f t="shared" ref="B20:H20" si="0">SUM(B5:B19)</f>
        <v>927777.79979810945</v>
      </c>
      <c r="C20" s="41">
        <f t="shared" si="0"/>
        <v>978229.0634266726</v>
      </c>
      <c r="D20" s="41">
        <f t="shared" si="0"/>
        <v>1023819.5606846005</v>
      </c>
      <c r="E20" s="41">
        <f t="shared" si="0"/>
        <v>1080345.1980058779</v>
      </c>
      <c r="F20" s="41">
        <f t="shared" si="0"/>
        <v>1124373.8185789513</v>
      </c>
      <c r="G20" s="41">
        <f t="shared" si="0"/>
        <v>1162154.8452123569</v>
      </c>
      <c r="H20" s="41">
        <f t="shared" si="0"/>
        <v>1199937.474486527</v>
      </c>
      <c r="J20" s="54"/>
      <c r="K20" s="55"/>
      <c r="L20" s="45">
        <f>'Group Quarters and Households'!B40/'Households and Housing Units'!B20</f>
        <v>2.5319198201456974</v>
      </c>
      <c r="M20" s="45">
        <f>'Group Quarters and Households'!C40/'Households and Housing Units'!C20</f>
        <v>2.5373944537133046</v>
      </c>
      <c r="N20" s="45">
        <f>'Group Quarters and Households'!D40/'Households and Housing Units'!D20</f>
        <v>2.5403841652144763</v>
      </c>
      <c r="O20" s="45">
        <f>'Group Quarters and Households'!E40/'Households and Housing Units'!E20</f>
        <v>2.5430306952547328</v>
      </c>
      <c r="P20" s="45">
        <f>'Group Quarters and Households'!F40/'Households and Housing Units'!F20</f>
        <v>2.5451971156859994</v>
      </c>
      <c r="Q20" s="45">
        <f>'Group Quarters and Households'!G40/'Households and Housing Units'!G20</f>
        <v>2.5471020597596059</v>
      </c>
      <c r="R20" s="45">
        <f>'Group Quarters and Households'!H40/'Households and Housing Units'!H20</f>
        <v>2.5489869805998318</v>
      </c>
    </row>
    <row r="22" spans="1:18" s="9" customFormat="1" ht="26.25" customHeight="1" x14ac:dyDescent="0.3">
      <c r="A22" s="90" t="s">
        <v>14</v>
      </c>
      <c r="B22" s="90"/>
      <c r="C22" s="90"/>
      <c r="D22" s="90"/>
      <c r="E22" s="90"/>
      <c r="F22" s="90"/>
      <c r="G22" s="90"/>
      <c r="H22" s="90"/>
      <c r="I22" s="90"/>
      <c r="J22" s="90"/>
      <c r="K22" s="90"/>
      <c r="L22" s="90"/>
      <c r="M22" s="90"/>
      <c r="N22" s="90"/>
      <c r="O22" s="90"/>
      <c r="P22" s="90"/>
      <c r="Q22" s="90"/>
    </row>
    <row r="23" spans="1:18" s="9" customFormat="1" ht="15.75" customHeight="1" x14ac:dyDescent="0.3">
      <c r="A23" s="10"/>
      <c r="B23" s="18" t="s">
        <v>60</v>
      </c>
      <c r="C23" s="93" t="s">
        <v>61</v>
      </c>
      <c r="D23" s="93"/>
      <c r="E23" s="93"/>
      <c r="F23" s="93"/>
      <c r="G23" s="93"/>
      <c r="H23" s="93"/>
      <c r="I23" s="51"/>
      <c r="J23" s="10"/>
      <c r="L23" s="93" t="s">
        <v>77</v>
      </c>
      <c r="M23" s="93"/>
      <c r="N23" s="93"/>
      <c r="O23" s="93"/>
      <c r="P23" s="93"/>
      <c r="Q23" s="93"/>
      <c r="R23" s="93"/>
    </row>
    <row r="24" spans="1:18" x14ac:dyDescent="0.3">
      <c r="A24" s="48" t="s">
        <v>0</v>
      </c>
      <c r="B24" s="4">
        <v>2020</v>
      </c>
      <c r="C24" s="4">
        <v>2025</v>
      </c>
      <c r="D24" s="4">
        <v>2030</v>
      </c>
      <c r="E24" s="4">
        <v>2035</v>
      </c>
      <c r="F24" s="4">
        <v>2040</v>
      </c>
      <c r="G24" s="4">
        <v>2045</v>
      </c>
      <c r="H24" s="4">
        <v>2050</v>
      </c>
      <c r="K24" s="4"/>
      <c r="L24" s="4">
        <v>2020</v>
      </c>
      <c r="M24" s="4">
        <v>2025</v>
      </c>
      <c r="N24" s="4">
        <v>2030</v>
      </c>
      <c r="O24" s="4">
        <v>2035</v>
      </c>
      <c r="P24" s="4">
        <v>2040</v>
      </c>
      <c r="Q24" s="4">
        <v>2045</v>
      </c>
      <c r="R24" s="4">
        <v>2050</v>
      </c>
    </row>
    <row r="25" spans="1:18" s="13" customFormat="1" x14ac:dyDescent="0.3">
      <c r="A25" s="36" t="s">
        <v>18</v>
      </c>
      <c r="B25" s="52">
        <v>78113.695219231391</v>
      </c>
      <c r="C25" s="52">
        <v>89719.766104351118</v>
      </c>
      <c r="D25" s="52">
        <v>100786.4646668338</v>
      </c>
      <c r="E25" s="52">
        <v>112910.20053009153</v>
      </c>
      <c r="F25" s="52">
        <v>123826.05144436059</v>
      </c>
      <c r="G25" s="52">
        <v>134137.77592358869</v>
      </c>
      <c r="H25" s="52">
        <v>144449.5004028168</v>
      </c>
      <c r="J25" s="37"/>
      <c r="K25" s="46"/>
      <c r="L25" s="46">
        <f t="shared" ref="L25:L40" si="1">B5/B25</f>
        <v>0.95703313172402715</v>
      </c>
      <c r="M25" s="46">
        <f t="shared" ref="M25:M40" si="2">C5/C25</f>
        <v>0.95703313172402715</v>
      </c>
      <c r="N25" s="46">
        <f t="shared" ref="N25:N40" si="3">D5/D25</f>
        <v>0.95703313172402715</v>
      </c>
      <c r="O25" s="46">
        <f t="shared" ref="O25:O40" si="4">E5/E25</f>
        <v>0.95703313172402715</v>
      </c>
      <c r="P25" s="46">
        <f t="shared" ref="P25:P40" si="5">F5/F25</f>
        <v>0.95703313172402715</v>
      </c>
      <c r="Q25" s="46">
        <f t="shared" ref="Q25:Q40" si="6">G5/G25</f>
        <v>0.95703313172402715</v>
      </c>
      <c r="R25" s="46">
        <f t="shared" ref="R25:R40" si="7">H5/H25</f>
        <v>0.95703313172402704</v>
      </c>
    </row>
    <row r="26" spans="1:18" s="13" customFormat="1" x14ac:dyDescent="0.3">
      <c r="A26" s="36" t="s">
        <v>19</v>
      </c>
      <c r="B26" s="52">
        <v>62896.442235999828</v>
      </c>
      <c r="C26" s="52">
        <v>66774.813985302928</v>
      </c>
      <c r="D26" s="52">
        <v>70432.197038148603</v>
      </c>
      <c r="E26" s="52">
        <v>74525.519541382993</v>
      </c>
      <c r="F26" s="52">
        <v>78120.107991956596</v>
      </c>
      <c r="G26" s="52">
        <v>81465.530680950687</v>
      </c>
      <c r="H26" s="52">
        <v>84810.953369944793</v>
      </c>
      <c r="J26" s="37"/>
      <c r="K26" s="46"/>
      <c r="L26" s="46">
        <f t="shared" si="1"/>
        <v>0.92697386586970287</v>
      </c>
      <c r="M26" s="46">
        <f t="shared" si="2"/>
        <v>0.92697386586970298</v>
      </c>
      <c r="N26" s="46">
        <f t="shared" si="3"/>
        <v>0.92697386586970298</v>
      </c>
      <c r="O26" s="46">
        <f t="shared" si="4"/>
        <v>0.92697386586970287</v>
      </c>
      <c r="P26" s="46">
        <f t="shared" si="5"/>
        <v>0.92697386586970287</v>
      </c>
      <c r="Q26" s="46">
        <f t="shared" si="6"/>
        <v>0.92697386586970298</v>
      </c>
      <c r="R26" s="46">
        <f t="shared" si="7"/>
        <v>0.92697386586970287</v>
      </c>
    </row>
    <row r="27" spans="1:18" x14ac:dyDescent="0.3">
      <c r="A27" s="36" t="s">
        <v>44</v>
      </c>
      <c r="B27" s="52">
        <v>12959.717452026909</v>
      </c>
      <c r="C27" s="52">
        <v>13174.361781747051</v>
      </c>
      <c r="D27" s="52">
        <v>13439.723758996004</v>
      </c>
      <c r="E27" s="52">
        <v>13718.670820404459</v>
      </c>
      <c r="F27" s="52">
        <v>13981.315780821511</v>
      </c>
      <c r="G27" s="52">
        <v>14236.262526881512</v>
      </c>
      <c r="H27" s="52">
        <v>14491.662109080162</v>
      </c>
      <c r="J27" s="37"/>
      <c r="K27" s="46"/>
      <c r="L27" s="46">
        <f t="shared" si="1"/>
        <v>0.91630884534311807</v>
      </c>
      <c r="M27" s="46">
        <f t="shared" si="2"/>
        <v>0.91630884534311807</v>
      </c>
      <c r="N27" s="46">
        <f t="shared" si="3"/>
        <v>0.91630884534311807</v>
      </c>
      <c r="O27" s="46">
        <f t="shared" si="4"/>
        <v>0.91630884534311807</v>
      </c>
      <c r="P27" s="46">
        <f t="shared" si="5"/>
        <v>0.91630884534311807</v>
      </c>
      <c r="Q27" s="46">
        <f t="shared" si="6"/>
        <v>0.91630884534311807</v>
      </c>
      <c r="R27" s="46">
        <f t="shared" si="7"/>
        <v>0.91630884534311807</v>
      </c>
    </row>
    <row r="28" spans="1:18" s="13" customFormat="1" x14ac:dyDescent="0.3">
      <c r="A28" s="36" t="s">
        <v>20</v>
      </c>
      <c r="B28" s="52">
        <v>567026.18713314983</v>
      </c>
      <c r="C28" s="52">
        <v>595340.35339157982</v>
      </c>
      <c r="D28" s="52">
        <v>619735.6599820772</v>
      </c>
      <c r="E28" s="52">
        <v>650893.37569442706</v>
      </c>
      <c r="F28" s="52">
        <v>674322.43612113094</v>
      </c>
      <c r="G28" s="52">
        <v>693886.07388442755</v>
      </c>
      <c r="H28" s="52">
        <v>713449.71164772403</v>
      </c>
      <c r="J28" s="37"/>
      <c r="K28" s="46"/>
      <c r="L28" s="46">
        <f t="shared" si="1"/>
        <v>0.92807402614580026</v>
      </c>
      <c r="M28" s="46">
        <f t="shared" si="2"/>
        <v>0.92807402614580026</v>
      </c>
      <c r="N28" s="46">
        <f t="shared" si="3"/>
        <v>0.92807402614580015</v>
      </c>
      <c r="O28" s="46">
        <f t="shared" si="4"/>
        <v>0.92807402614580015</v>
      </c>
      <c r="P28" s="46">
        <f t="shared" si="5"/>
        <v>0.92807402614580004</v>
      </c>
      <c r="Q28" s="46">
        <f t="shared" si="6"/>
        <v>0.92807402614580015</v>
      </c>
      <c r="R28" s="46">
        <f t="shared" si="7"/>
        <v>0.92807402614580015</v>
      </c>
    </row>
    <row r="29" spans="1:18" x14ac:dyDescent="0.3">
      <c r="A29" s="36" t="s">
        <v>45</v>
      </c>
      <c r="B29" s="52">
        <v>13309.115498625089</v>
      </c>
      <c r="C29" s="52">
        <v>13293.161963882822</v>
      </c>
      <c r="D29" s="52">
        <v>13196.473874535744</v>
      </c>
      <c r="E29" s="52">
        <v>13133.143176013409</v>
      </c>
      <c r="F29" s="52">
        <v>13037.90540800654</v>
      </c>
      <c r="G29" s="52">
        <v>12924.78034347046</v>
      </c>
      <c r="H29" s="52">
        <v>12812.138719381115</v>
      </c>
      <c r="J29" s="37"/>
      <c r="K29" s="46"/>
      <c r="L29" s="46">
        <f t="shared" si="1"/>
        <v>0.8583017042494604</v>
      </c>
      <c r="M29" s="46">
        <f t="shared" si="2"/>
        <v>0.8583017042494604</v>
      </c>
      <c r="N29" s="46">
        <f t="shared" si="3"/>
        <v>0.8583017042494604</v>
      </c>
      <c r="O29" s="46">
        <f t="shared" si="4"/>
        <v>0.8583017042494604</v>
      </c>
      <c r="P29" s="46">
        <f t="shared" si="5"/>
        <v>0.8583017042494604</v>
      </c>
      <c r="Q29" s="46">
        <f t="shared" si="6"/>
        <v>0.8583017042494604</v>
      </c>
      <c r="R29" s="46">
        <f t="shared" si="7"/>
        <v>0.8583017042494604</v>
      </c>
    </row>
    <row r="30" spans="1:18" x14ac:dyDescent="0.3">
      <c r="A30" s="36" t="s">
        <v>46</v>
      </c>
      <c r="B30" s="52">
        <v>26330.126021833581</v>
      </c>
      <c r="C30" s="52">
        <v>26913.910895491212</v>
      </c>
      <c r="D30" s="52">
        <v>27409.770983131602</v>
      </c>
      <c r="E30" s="52">
        <v>28112.276633848047</v>
      </c>
      <c r="F30" s="52">
        <v>28578.679686579108</v>
      </c>
      <c r="G30" s="52">
        <v>28927.700918383594</v>
      </c>
      <c r="H30" s="52">
        <v>29277.168468898828</v>
      </c>
      <c r="J30" s="37"/>
      <c r="K30" s="46"/>
      <c r="L30" s="46">
        <f t="shared" si="1"/>
        <v>0.88910768755550407</v>
      </c>
      <c r="M30" s="46">
        <f t="shared" si="2"/>
        <v>0.88910768755550407</v>
      </c>
      <c r="N30" s="46">
        <f t="shared" si="3"/>
        <v>0.88910768755550407</v>
      </c>
      <c r="O30" s="46">
        <f t="shared" si="4"/>
        <v>0.88910768755550418</v>
      </c>
      <c r="P30" s="46">
        <f t="shared" si="5"/>
        <v>0.88910768755550407</v>
      </c>
      <c r="Q30" s="46">
        <f t="shared" si="6"/>
        <v>0.88910768755550407</v>
      </c>
      <c r="R30" s="46">
        <f t="shared" si="7"/>
        <v>0.88910768755550407</v>
      </c>
    </row>
    <row r="31" spans="1:18" s="13" customFormat="1" x14ac:dyDescent="0.3">
      <c r="A31" s="36" t="s">
        <v>21</v>
      </c>
      <c r="B31" s="52">
        <v>72346.914501063555</v>
      </c>
      <c r="C31" s="52">
        <v>77300.832075846236</v>
      </c>
      <c r="D31" s="52">
        <v>81266.782979849013</v>
      </c>
      <c r="E31" s="52">
        <v>87847.013824854686</v>
      </c>
      <c r="F31" s="52">
        <v>91438.904391870383</v>
      </c>
      <c r="G31" s="52">
        <v>93537.867545263129</v>
      </c>
      <c r="H31" s="52">
        <v>95637.244940446544</v>
      </c>
      <c r="J31" s="37"/>
      <c r="K31" s="46"/>
      <c r="L31" s="46">
        <f t="shared" si="1"/>
        <v>0.90753723568995137</v>
      </c>
      <c r="M31" s="46">
        <f t="shared" si="2"/>
        <v>0.90753723568995126</v>
      </c>
      <c r="N31" s="46">
        <f t="shared" si="3"/>
        <v>0.90753723568995137</v>
      </c>
      <c r="O31" s="46">
        <f t="shared" si="4"/>
        <v>0.90753723568995126</v>
      </c>
      <c r="P31" s="46">
        <f t="shared" si="5"/>
        <v>0.90753723568995126</v>
      </c>
      <c r="Q31" s="46">
        <f t="shared" si="6"/>
        <v>0.90753723568995115</v>
      </c>
      <c r="R31" s="46">
        <f t="shared" si="7"/>
        <v>0.90753723568995126</v>
      </c>
    </row>
    <row r="32" spans="1:18" x14ac:dyDescent="0.3">
      <c r="A32" s="36" t="s">
        <v>47</v>
      </c>
      <c r="B32" s="52">
        <v>23837.224136869685</v>
      </c>
      <c r="C32" s="52">
        <v>23852.914779403171</v>
      </c>
      <c r="D32" s="52">
        <v>24014.005376080277</v>
      </c>
      <c r="E32" s="52">
        <v>24198.631936557613</v>
      </c>
      <c r="F32" s="52">
        <v>24350.831169132412</v>
      </c>
      <c r="G32" s="52">
        <v>24494.139037604902</v>
      </c>
      <c r="H32" s="52">
        <v>24637.446906077395</v>
      </c>
      <c r="J32" s="37"/>
      <c r="K32" s="46"/>
      <c r="L32" s="77">
        <f t="shared" si="1"/>
        <v>0.79334754797441365</v>
      </c>
      <c r="M32" s="77">
        <f t="shared" si="2"/>
        <v>0.79334754797441365</v>
      </c>
      <c r="N32" s="77">
        <f t="shared" si="3"/>
        <v>0.79334754797441365</v>
      </c>
      <c r="O32" s="46">
        <f t="shared" si="4"/>
        <v>0.79334754797441365</v>
      </c>
      <c r="P32" s="46">
        <f t="shared" si="5"/>
        <v>0.79334754797441365</v>
      </c>
      <c r="Q32" s="46">
        <f t="shared" si="6"/>
        <v>0.79334754797441365</v>
      </c>
      <c r="R32" s="46">
        <f t="shared" si="7"/>
        <v>0.79334754797441365</v>
      </c>
    </row>
    <row r="33" spans="1:18" s="13" customFormat="1" x14ac:dyDescent="0.3">
      <c r="A33" s="36" t="s">
        <v>22</v>
      </c>
      <c r="B33" s="52">
        <v>15956.862786278114</v>
      </c>
      <c r="C33" s="52">
        <v>16926.827031927918</v>
      </c>
      <c r="D33" s="52">
        <v>17781.024018932389</v>
      </c>
      <c r="E33" s="52">
        <v>18719.97917744505</v>
      </c>
      <c r="F33" s="52">
        <v>19562.599438584988</v>
      </c>
      <c r="G33" s="52">
        <v>20356.018614800658</v>
      </c>
      <c r="H33" s="52">
        <v>21149.437791016335</v>
      </c>
      <c r="J33" s="37"/>
      <c r="K33" s="46"/>
      <c r="L33" s="46">
        <f t="shared" si="1"/>
        <v>0.93024840488137273</v>
      </c>
      <c r="M33" s="46">
        <f t="shared" si="2"/>
        <v>0.93024840488137273</v>
      </c>
      <c r="N33" s="46">
        <f t="shared" si="3"/>
        <v>0.93024840488137273</v>
      </c>
      <c r="O33" s="46">
        <f t="shared" si="4"/>
        <v>0.93024840488137273</v>
      </c>
      <c r="P33" s="46">
        <f t="shared" si="5"/>
        <v>0.93024840488137273</v>
      </c>
      <c r="Q33" s="46">
        <f t="shared" si="6"/>
        <v>0.93024840488137284</v>
      </c>
      <c r="R33" s="46">
        <f t="shared" si="7"/>
        <v>0.93024840488137273</v>
      </c>
    </row>
    <row r="34" spans="1:18" x14ac:dyDescent="0.3">
      <c r="A34" s="36" t="s">
        <v>48</v>
      </c>
      <c r="B34" s="52">
        <v>27935.025919399246</v>
      </c>
      <c r="C34" s="52">
        <v>27914.43556609573</v>
      </c>
      <c r="D34" s="52">
        <v>27848.452843009451</v>
      </c>
      <c r="E34" s="52">
        <v>27884.953923865691</v>
      </c>
      <c r="F34" s="52">
        <v>27805.400286102096</v>
      </c>
      <c r="G34" s="52">
        <v>27665.479476153181</v>
      </c>
      <c r="H34" s="52">
        <v>27525.558666204266</v>
      </c>
      <c r="J34" s="37"/>
      <c r="K34" s="46"/>
      <c r="L34" s="46">
        <f t="shared" si="1"/>
        <v>0.88302604204031854</v>
      </c>
      <c r="M34" s="46">
        <f t="shared" si="2"/>
        <v>0.88302604204031854</v>
      </c>
      <c r="N34" s="46">
        <f t="shared" si="3"/>
        <v>0.88302604204031854</v>
      </c>
      <c r="O34" s="46">
        <f t="shared" si="4"/>
        <v>0.88302604204031854</v>
      </c>
      <c r="P34" s="46">
        <f t="shared" si="5"/>
        <v>0.88302604204031854</v>
      </c>
      <c r="Q34" s="46">
        <f t="shared" si="6"/>
        <v>0.88302604204031854</v>
      </c>
      <c r="R34" s="46">
        <f t="shared" si="7"/>
        <v>0.88302604204031854</v>
      </c>
    </row>
    <row r="35" spans="1:18" x14ac:dyDescent="0.3">
      <c r="A35" s="36" t="s">
        <v>49</v>
      </c>
      <c r="B35" s="52">
        <v>14258.132048274012</v>
      </c>
      <c r="C35" s="52">
        <v>14854.121885686371</v>
      </c>
      <c r="D35" s="52">
        <v>15360.096706275759</v>
      </c>
      <c r="E35" s="52">
        <v>16041.991285770313</v>
      </c>
      <c r="F35" s="52">
        <v>16523.304457915052</v>
      </c>
      <c r="G35" s="52">
        <v>16904.737953858963</v>
      </c>
      <c r="H35" s="52">
        <v>17286.17144980287</v>
      </c>
      <c r="J35" s="37"/>
      <c r="K35" s="46"/>
      <c r="L35" s="46">
        <f t="shared" si="1"/>
        <v>0.91120876054962685</v>
      </c>
      <c r="M35" s="46">
        <f t="shared" si="2"/>
        <v>0.91120876054962685</v>
      </c>
      <c r="N35" s="46">
        <f t="shared" si="3"/>
        <v>0.91120876054962685</v>
      </c>
      <c r="O35" s="46">
        <f t="shared" si="4"/>
        <v>0.91120876054962685</v>
      </c>
      <c r="P35" s="46">
        <f t="shared" si="5"/>
        <v>0.91120876054962696</v>
      </c>
      <c r="Q35" s="46">
        <f t="shared" si="6"/>
        <v>0.91120876054962685</v>
      </c>
      <c r="R35" s="46">
        <f t="shared" si="7"/>
        <v>0.91120876054962685</v>
      </c>
    </row>
    <row r="36" spans="1:18" x14ac:dyDescent="0.3">
      <c r="A36" s="36" t="s">
        <v>50</v>
      </c>
      <c r="B36" s="52">
        <v>15109.94249394673</v>
      </c>
      <c r="C36" s="52">
        <v>15715.631641781003</v>
      </c>
      <c r="D36" s="52">
        <v>15952.397122455384</v>
      </c>
      <c r="E36" s="52">
        <v>16257.609351179266</v>
      </c>
      <c r="F36" s="52">
        <v>16484.043247242396</v>
      </c>
      <c r="G36" s="52">
        <v>16671.73370101336</v>
      </c>
      <c r="H36" s="52">
        <v>16859.424154784323</v>
      </c>
      <c r="J36" s="37"/>
      <c r="K36" s="46"/>
      <c r="L36" s="46">
        <f t="shared" si="1"/>
        <v>0.86036065360328107</v>
      </c>
      <c r="M36" s="46">
        <f t="shared" si="2"/>
        <v>0.86036065360328107</v>
      </c>
      <c r="N36" s="46">
        <f t="shared" si="3"/>
        <v>0.86036065360328107</v>
      </c>
      <c r="O36" s="46">
        <f t="shared" si="4"/>
        <v>0.86036065360328107</v>
      </c>
      <c r="P36" s="46">
        <f t="shared" si="5"/>
        <v>0.86036065360328118</v>
      </c>
      <c r="Q36" s="46">
        <f t="shared" si="6"/>
        <v>0.86036065360328107</v>
      </c>
      <c r="R36" s="46">
        <f t="shared" si="7"/>
        <v>0.86036065360328107</v>
      </c>
    </row>
    <row r="37" spans="1:18" s="13" customFormat="1" x14ac:dyDescent="0.3">
      <c r="A37" s="36" t="s">
        <v>23</v>
      </c>
      <c r="B37" s="52">
        <v>21743.751308861367</v>
      </c>
      <c r="C37" s="52">
        <v>23126.346201310356</v>
      </c>
      <c r="D37" s="52">
        <v>24437.656708101476</v>
      </c>
      <c r="E37" s="52">
        <v>25856.095161700472</v>
      </c>
      <c r="F37" s="52">
        <v>27152.90714937474</v>
      </c>
      <c r="G37" s="52">
        <v>28388.905904086638</v>
      </c>
      <c r="H37" s="52">
        <v>29624.904658798539</v>
      </c>
      <c r="J37" s="37"/>
      <c r="K37" s="46"/>
      <c r="L37" s="46">
        <f t="shared" si="1"/>
        <v>0.91963415200334264</v>
      </c>
      <c r="M37" s="46">
        <f t="shared" si="2"/>
        <v>0.91963415200334275</v>
      </c>
      <c r="N37" s="46">
        <f t="shared" si="3"/>
        <v>0.91963415200334275</v>
      </c>
      <c r="O37" s="46">
        <f t="shared" si="4"/>
        <v>0.91963415200334275</v>
      </c>
      <c r="P37" s="46">
        <f t="shared" si="5"/>
        <v>0.91963415200334275</v>
      </c>
      <c r="Q37" s="46">
        <f t="shared" si="6"/>
        <v>0.91963415200334275</v>
      </c>
      <c r="R37" s="46">
        <f t="shared" si="7"/>
        <v>0.91963415200334275</v>
      </c>
    </row>
    <row r="38" spans="1:18" x14ac:dyDescent="0.3">
      <c r="A38" s="36" t="s">
        <v>51</v>
      </c>
      <c r="B38" s="52">
        <v>32137.625149390034</v>
      </c>
      <c r="C38" s="52">
        <v>31972.705594515974</v>
      </c>
      <c r="D38" s="52">
        <v>31811.400714817235</v>
      </c>
      <c r="E38" s="52">
        <v>31674.494892551917</v>
      </c>
      <c r="F38" s="52">
        <v>31508.671668884028</v>
      </c>
      <c r="G38" s="52">
        <v>31325.678738133356</v>
      </c>
      <c r="H38" s="52">
        <v>31142.685807382688</v>
      </c>
      <c r="J38" s="39"/>
      <c r="K38" s="46"/>
      <c r="L38" s="46">
        <f t="shared" si="1"/>
        <v>0.90704928259513418</v>
      </c>
      <c r="M38" s="46">
        <f t="shared" si="2"/>
        <v>0.90704928259513418</v>
      </c>
      <c r="N38" s="46">
        <f t="shared" si="3"/>
        <v>0.90704928259513418</v>
      </c>
      <c r="O38" s="46">
        <f t="shared" si="4"/>
        <v>0.90704928259513418</v>
      </c>
      <c r="P38" s="46">
        <f t="shared" si="5"/>
        <v>0.90704928259513418</v>
      </c>
      <c r="Q38" s="46">
        <f t="shared" si="6"/>
        <v>0.90704928259513418</v>
      </c>
      <c r="R38" s="46">
        <f t="shared" si="7"/>
        <v>0.90704928259513418</v>
      </c>
    </row>
    <row r="39" spans="1:18" s="13" customFormat="1" x14ac:dyDescent="0.3">
      <c r="A39" s="36" t="s">
        <v>24</v>
      </c>
      <c r="B39" s="52">
        <v>23727.284624451815</v>
      </c>
      <c r="C39" s="52">
        <v>24980.11714145563</v>
      </c>
      <c r="D39" s="52">
        <v>27273.721437618511</v>
      </c>
      <c r="E39" s="52">
        <v>29691.692181539969</v>
      </c>
      <c r="F39" s="52">
        <v>31967.359009276137</v>
      </c>
      <c r="G39" s="52">
        <v>34172.073184124405</v>
      </c>
      <c r="H39" s="52">
        <v>36376.787358972673</v>
      </c>
      <c r="J39" s="39"/>
      <c r="K39" s="56"/>
      <c r="L39" s="46">
        <f t="shared" si="1"/>
        <v>0.950270915602902</v>
      </c>
      <c r="M39" s="46">
        <f t="shared" si="2"/>
        <v>0.950270915602902</v>
      </c>
      <c r="N39" s="46">
        <f t="shared" si="3"/>
        <v>0.950270915602902</v>
      </c>
      <c r="O39" s="46">
        <f t="shared" si="4"/>
        <v>0.950270915602902</v>
      </c>
      <c r="P39" s="46">
        <f t="shared" si="5"/>
        <v>0.950270915602902</v>
      </c>
      <c r="Q39" s="46">
        <f t="shared" si="6"/>
        <v>0.950270915602902</v>
      </c>
      <c r="R39" s="46">
        <f t="shared" si="7"/>
        <v>0.950270915602902</v>
      </c>
    </row>
    <row r="40" spans="1:18" s="19" customFormat="1" x14ac:dyDescent="0.3">
      <c r="A40" s="35" t="s">
        <v>86</v>
      </c>
      <c r="B40" s="41">
        <f t="shared" ref="B40:H40" si="8">SUM(B25:B39)</f>
        <v>1007688.0465294012</v>
      </c>
      <c r="C40" s="41">
        <f t="shared" si="8"/>
        <v>1061860.3000403775</v>
      </c>
      <c r="D40" s="41">
        <f t="shared" si="8"/>
        <v>1110745.8282108626</v>
      </c>
      <c r="E40" s="41">
        <f t="shared" si="8"/>
        <v>1171465.6481316325</v>
      </c>
      <c r="F40" s="41">
        <f t="shared" si="8"/>
        <v>1218660.5172512378</v>
      </c>
      <c r="G40" s="41">
        <f t="shared" si="8"/>
        <v>1259094.7584327408</v>
      </c>
      <c r="H40" s="41">
        <f t="shared" si="8"/>
        <v>1299530.7964513316</v>
      </c>
      <c r="J40" s="12"/>
      <c r="K40" s="57"/>
      <c r="L40" s="47">
        <f t="shared" si="1"/>
        <v>0.92069941981894865</v>
      </c>
      <c r="M40" s="47">
        <f t="shared" si="2"/>
        <v>0.9212408293157538</v>
      </c>
      <c r="N40" s="47">
        <f t="shared" si="3"/>
        <v>0.92174063109804438</v>
      </c>
      <c r="O40" s="47">
        <f t="shared" si="4"/>
        <v>0.92221671179937514</v>
      </c>
      <c r="P40" s="47">
        <f t="shared" si="5"/>
        <v>0.92263087435953384</v>
      </c>
      <c r="Q40" s="47">
        <f t="shared" si="6"/>
        <v>0.92300824654289726</v>
      </c>
      <c r="R40" s="47">
        <f t="shared" si="7"/>
        <v>0.92336209173590411</v>
      </c>
    </row>
    <row r="43" spans="1:18" x14ac:dyDescent="0.3">
      <c r="A43" s="21">
        <v>1</v>
      </c>
      <c r="B43" s="21" t="s">
        <v>132</v>
      </c>
    </row>
    <row r="44" spans="1:18" x14ac:dyDescent="0.3">
      <c r="A44" s="21">
        <v>2</v>
      </c>
      <c r="B44" s="21" t="s">
        <v>133</v>
      </c>
    </row>
    <row r="46" spans="1:18" x14ac:dyDescent="0.3">
      <c r="B46" s="50" t="s">
        <v>112</v>
      </c>
    </row>
  </sheetData>
  <mergeCells count="7">
    <mergeCell ref="C1:R1"/>
    <mergeCell ref="A2:R2"/>
    <mergeCell ref="A22:Q22"/>
    <mergeCell ref="L3:R3"/>
    <mergeCell ref="L23:R23"/>
    <mergeCell ref="C23:H23"/>
    <mergeCell ref="C3:H3"/>
  </mergeCells>
  <pageMargins left="0.7" right="0.7" top="0.75" bottom="0.75" header="0.3" footer="0.3"/>
  <pageSetup orientation="portrait" horizontalDpi="1200" verticalDpi="1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53203-2830-4059-BB09-DA5A975FA39E}">
  <dimension ref="A1:R45"/>
  <sheetViews>
    <sheetView workbookViewId="0">
      <selection activeCell="E24" sqref="E24"/>
    </sheetView>
  </sheetViews>
  <sheetFormatPr defaultRowHeight="14.4" x14ac:dyDescent="0.3"/>
  <cols>
    <col min="1" max="1" width="20.109375" customWidth="1"/>
    <col min="2" max="2" width="10.6640625" customWidth="1"/>
    <col min="3" max="3" width="11.33203125" bestFit="1" customWidth="1"/>
    <col min="4" max="4" width="11.109375" customWidth="1"/>
    <col min="5" max="5" width="11.33203125" bestFit="1" customWidth="1"/>
    <col min="6" max="6" width="10.6640625" customWidth="1"/>
    <col min="7" max="7" width="11.33203125" customWidth="1"/>
    <col min="8" max="8" width="10.6640625" bestFit="1" customWidth="1"/>
    <col min="9" max="9" width="11.33203125" customWidth="1"/>
    <col min="10" max="10" width="2.33203125" customWidth="1"/>
    <col min="11" max="11" width="11.33203125" bestFit="1" customWidth="1"/>
    <col min="12" max="12" width="10.44140625" customWidth="1"/>
    <col min="13" max="13" width="11.33203125" bestFit="1" customWidth="1"/>
    <col min="14" max="14" width="10.88671875" customWidth="1"/>
    <col min="15" max="15" width="11.33203125" bestFit="1" customWidth="1"/>
    <col min="16" max="16" width="10.88671875" customWidth="1"/>
    <col min="17" max="17" width="11.33203125" bestFit="1" customWidth="1"/>
  </cols>
  <sheetData>
    <row r="1" spans="1:18" ht="65.25" customHeight="1" x14ac:dyDescent="0.4">
      <c r="C1" s="88" t="s">
        <v>68</v>
      </c>
      <c r="D1" s="88"/>
      <c r="E1" s="88"/>
      <c r="F1" s="88"/>
      <c r="G1" s="88"/>
      <c r="H1" s="88"/>
      <c r="I1" s="88"/>
      <c r="J1" s="88"/>
      <c r="K1" s="88"/>
      <c r="L1" s="88"/>
      <c r="M1" s="88"/>
      <c r="N1" s="88"/>
      <c r="O1" s="88"/>
      <c r="P1" s="88"/>
      <c r="Q1" s="88"/>
      <c r="R1" s="88"/>
    </row>
    <row r="2" spans="1:18" s="9" customFormat="1" ht="26.25" customHeight="1" x14ac:dyDescent="0.3">
      <c r="A2" s="90" t="s">
        <v>69</v>
      </c>
      <c r="B2" s="90"/>
      <c r="C2" s="90"/>
      <c r="D2" s="90"/>
      <c r="E2" s="90"/>
      <c r="F2" s="90"/>
      <c r="G2" s="90"/>
      <c r="H2" s="90"/>
      <c r="I2" s="90"/>
      <c r="J2" s="90"/>
      <c r="K2" s="90"/>
      <c r="L2" s="90"/>
      <c r="M2" s="90"/>
      <c r="N2" s="90"/>
      <c r="O2" s="90"/>
      <c r="P2" s="90"/>
      <c r="Q2" s="90"/>
      <c r="R2" s="90"/>
    </row>
    <row r="3" spans="1:18" s="9" customFormat="1" ht="15.75" customHeight="1" x14ac:dyDescent="0.3">
      <c r="A3" s="10"/>
      <c r="B3" s="18" t="s">
        <v>60</v>
      </c>
      <c r="C3" s="93" t="s">
        <v>61</v>
      </c>
      <c r="D3" s="93"/>
      <c r="E3" s="93"/>
      <c r="F3" s="93"/>
      <c r="G3" s="93"/>
      <c r="H3" s="93"/>
      <c r="I3" s="51"/>
      <c r="J3" s="10"/>
      <c r="L3" s="93" t="s">
        <v>78</v>
      </c>
      <c r="M3" s="93"/>
      <c r="N3" s="93"/>
      <c r="O3" s="93"/>
      <c r="P3" s="93"/>
      <c r="Q3" s="93"/>
      <c r="R3" s="93"/>
    </row>
    <row r="4" spans="1:18" x14ac:dyDescent="0.3">
      <c r="B4" s="4">
        <v>2020</v>
      </c>
      <c r="C4" s="4">
        <v>2025</v>
      </c>
      <c r="D4" s="4">
        <v>2030</v>
      </c>
      <c r="E4" s="4">
        <v>2035</v>
      </c>
      <c r="F4" s="4">
        <v>2040</v>
      </c>
      <c r="G4" s="4">
        <v>2045</v>
      </c>
      <c r="H4" s="4">
        <v>2050</v>
      </c>
      <c r="K4" s="4"/>
      <c r="L4" s="4">
        <v>2020</v>
      </c>
      <c r="M4" s="4">
        <v>2025</v>
      </c>
      <c r="N4" s="4">
        <v>2030</v>
      </c>
      <c r="O4" s="4">
        <v>2035</v>
      </c>
      <c r="P4" s="4">
        <v>2040</v>
      </c>
      <c r="Q4" s="4">
        <v>2045</v>
      </c>
      <c r="R4" s="4">
        <v>2050</v>
      </c>
    </row>
    <row r="5" spans="1:18" s="7" customFormat="1" x14ac:dyDescent="0.3">
      <c r="A5" s="36" t="s">
        <v>18</v>
      </c>
      <c r="B5" s="37">
        <v>114891.02512338062</v>
      </c>
      <c r="C5" s="37">
        <v>131476.76155533473</v>
      </c>
      <c r="D5" s="37">
        <v>145904.39765467084</v>
      </c>
      <c r="E5" s="37">
        <v>161284.48021541242</v>
      </c>
      <c r="F5" s="37">
        <v>175629.35703928326</v>
      </c>
      <c r="G5" s="37">
        <v>189645.64068912767</v>
      </c>
      <c r="H5" s="37">
        <v>204383.6153672089</v>
      </c>
      <c r="J5" s="37"/>
      <c r="K5" s="38"/>
      <c r="L5" s="38">
        <f>B5/'Population by Age'!B25</f>
        <v>0.88693597291415283</v>
      </c>
      <c r="M5" s="38">
        <f>C5/'Population by Age'!C25</f>
        <v>0.89062518411991853</v>
      </c>
      <c r="N5" s="38">
        <f>D5/'Population by Age'!D25</f>
        <v>0.89534970762203048</v>
      </c>
      <c r="O5" s="38">
        <f>E5/'Population by Age'!E25</f>
        <v>0.89630374013811198</v>
      </c>
      <c r="P5" s="38">
        <f>F5/'Population by Age'!F25</f>
        <v>0.9002709436362778</v>
      </c>
      <c r="Q5" s="38">
        <f>G5/'Population by Age'!G25</f>
        <v>0.90011268012932533</v>
      </c>
      <c r="R5" s="38">
        <f>H5/'Population by Age'!H25</f>
        <v>0.90262690506292798</v>
      </c>
    </row>
    <row r="6" spans="1:18" s="7" customFormat="1" x14ac:dyDescent="0.3">
      <c r="A6" s="36" t="s">
        <v>19</v>
      </c>
      <c r="B6" s="37">
        <v>79709.989440663252</v>
      </c>
      <c r="C6" s="37">
        <v>83296.055723553378</v>
      </c>
      <c r="D6" s="37">
        <v>86600.856639589416</v>
      </c>
      <c r="E6" s="37">
        <v>91260.22777401327</v>
      </c>
      <c r="F6" s="37">
        <v>96135.046850985469</v>
      </c>
      <c r="G6" s="37">
        <v>101091.30705275264</v>
      </c>
      <c r="H6" s="37">
        <v>105854.27881141935</v>
      </c>
      <c r="J6" s="37"/>
      <c r="K6" s="38"/>
      <c r="L6" s="38">
        <f>B6/'Population by Age'!B26</f>
        <v>0.83400459786202719</v>
      </c>
      <c r="M6" s="38">
        <f>C6/'Population by Age'!C26</f>
        <v>0.83873102669922439</v>
      </c>
      <c r="N6" s="38">
        <f>D6/'Population by Age'!D26</f>
        <v>0.84453211471860012</v>
      </c>
      <c r="O6" s="38">
        <f>E6/'Population by Age'!E26</f>
        <v>0.84439227015686147</v>
      </c>
      <c r="P6" s="38">
        <f>F6/'Population by Age'!F26</f>
        <v>0.84191623185841935</v>
      </c>
      <c r="Q6" s="38">
        <f>G6/'Population by Age'!G26</f>
        <v>0.83866057502345837</v>
      </c>
      <c r="R6" s="38">
        <f>H6/'Population by Age'!H26</f>
        <v>0.83672657348367208</v>
      </c>
    </row>
    <row r="7" spans="1:18" s="7" customFormat="1" x14ac:dyDescent="0.3">
      <c r="A7" s="36" t="s">
        <v>44</v>
      </c>
      <c r="B7" s="37">
        <v>13086.305930030103</v>
      </c>
      <c r="C7" s="37">
        <v>13264.937659317522</v>
      </c>
      <c r="D7" s="37">
        <v>13505.883172509579</v>
      </c>
      <c r="E7" s="37">
        <v>13716.198723262925</v>
      </c>
      <c r="F7" s="37">
        <v>13914.371704598445</v>
      </c>
      <c r="G7" s="37">
        <v>14175.132794161147</v>
      </c>
      <c r="H7" s="37">
        <v>14485.299015456694</v>
      </c>
      <c r="J7" s="37"/>
      <c r="K7" s="38"/>
      <c r="L7" s="38">
        <f>B7/'Population by Age'!B27</f>
        <v>0.77087099022326244</v>
      </c>
      <c r="M7" s="38">
        <f>C7/'Population by Age'!C27</f>
        <v>0.78033635268648283</v>
      </c>
      <c r="N7" s="38">
        <f>D7/'Population by Age'!D27</f>
        <v>0.78195247640745591</v>
      </c>
      <c r="O7" s="38">
        <f>E7/'Population by Age'!E27</f>
        <v>0.77919665530096716</v>
      </c>
      <c r="P7" s="38">
        <f>F7/'Population by Age'!F27</f>
        <v>0.77712212815406001</v>
      </c>
      <c r="Q7" s="38">
        <f>G7/'Population by Age'!G27</f>
        <v>0.77506330549298197</v>
      </c>
      <c r="R7" s="38">
        <f>H7/'Population by Age'!H27</f>
        <v>0.7746563460857101</v>
      </c>
    </row>
    <row r="8" spans="1:18" s="7" customFormat="1" x14ac:dyDescent="0.3">
      <c r="A8" s="36" t="s">
        <v>20</v>
      </c>
      <c r="B8" s="37">
        <v>726058.27189851156</v>
      </c>
      <c r="C8" s="37">
        <v>752800.92133698077</v>
      </c>
      <c r="D8" s="37">
        <v>777956.62873996864</v>
      </c>
      <c r="E8" s="37">
        <v>816413.7284155282</v>
      </c>
      <c r="F8" s="37">
        <v>849684.90117475518</v>
      </c>
      <c r="G8" s="37">
        <v>878073.12309398584</v>
      </c>
      <c r="H8" s="37">
        <v>902582.51764139731</v>
      </c>
      <c r="J8" s="37"/>
      <c r="K8" s="38"/>
      <c r="L8" s="38">
        <f>B8/'Population by Age'!B28</f>
        <v>0.85783350846837203</v>
      </c>
      <c r="M8" s="38">
        <f>C8/'Population by Age'!C28</f>
        <v>0.86425627479019973</v>
      </c>
      <c r="N8" s="38">
        <f>D8/'Population by Age'!D28</f>
        <v>0.86720406821639018</v>
      </c>
      <c r="O8" s="38">
        <f>E8/'Population by Age'!E28</f>
        <v>0.86368127736305333</v>
      </c>
      <c r="P8" s="38">
        <f>F8/'Population by Age'!F28</f>
        <v>0.86249029457836013</v>
      </c>
      <c r="Q8" s="38">
        <f>G8/'Population by Age'!G28</f>
        <v>0.85893854903708666</v>
      </c>
      <c r="R8" s="38">
        <f>H8/'Population by Age'!H28</f>
        <v>0.85874610520880357</v>
      </c>
    </row>
    <row r="9" spans="1:18" s="7" customFormat="1" x14ac:dyDescent="0.3">
      <c r="A9" s="36" t="s">
        <v>45</v>
      </c>
      <c r="B9" s="37">
        <v>13141.638960577073</v>
      </c>
      <c r="C9" s="37">
        <v>12788.823993821952</v>
      </c>
      <c r="D9" s="37">
        <v>12437.538185252492</v>
      </c>
      <c r="E9" s="37">
        <v>12283.004031043145</v>
      </c>
      <c r="F9" s="37">
        <v>12196.288161010212</v>
      </c>
      <c r="G9" s="37">
        <v>12177.601582539663</v>
      </c>
      <c r="H9" s="37">
        <v>12125.390697008184</v>
      </c>
      <c r="J9" s="37"/>
      <c r="K9" s="38"/>
      <c r="L9" s="38">
        <f>B9/'Population by Age'!B29</f>
        <v>0.80034342025438932</v>
      </c>
      <c r="M9" s="38">
        <f>C9/'Population by Age'!C29</f>
        <v>0.80417682159479043</v>
      </c>
      <c r="N9" s="38">
        <f>D9/'Population by Age'!D29</f>
        <v>0.81338945688656672</v>
      </c>
      <c r="O9" s="38">
        <f>E9/'Population by Age'!E29</f>
        <v>0.81490108346335466</v>
      </c>
      <c r="P9" s="38">
        <f>F9/'Population by Age'!F29</f>
        <v>0.81656990901246729</v>
      </c>
      <c r="Q9" s="38">
        <f>G9/'Population by Age'!G29</f>
        <v>0.81319543122134641</v>
      </c>
      <c r="R9" s="38">
        <f>H9/'Population by Age'!H29</f>
        <v>0.80620948783299096</v>
      </c>
    </row>
    <row r="10" spans="1:18" s="7" customFormat="1" x14ac:dyDescent="0.3">
      <c r="A10" s="36" t="s">
        <v>46</v>
      </c>
      <c r="B10" s="37">
        <v>30472.510919060456</v>
      </c>
      <c r="C10" s="37">
        <v>30473.188855784556</v>
      </c>
      <c r="D10" s="37">
        <v>30471.210771419734</v>
      </c>
      <c r="E10" s="37">
        <v>31056.438192145128</v>
      </c>
      <c r="F10" s="37">
        <v>31734.466198578804</v>
      </c>
      <c r="G10" s="37">
        <v>32525.09901158592</v>
      </c>
      <c r="H10" s="37">
        <v>33238.261222524969</v>
      </c>
      <c r="J10" s="37"/>
      <c r="K10" s="38"/>
      <c r="L10" s="38">
        <f>B10/'Population by Age'!B30</f>
        <v>0.84714105582442678</v>
      </c>
      <c r="M10" s="38">
        <f>C10/'Population by Age'!C30</f>
        <v>0.86109211494488558</v>
      </c>
      <c r="N10" s="38">
        <f>D10/'Population by Age'!D30</f>
        <v>0.86440698906186308</v>
      </c>
      <c r="O10" s="38">
        <f>E10/'Population by Age'!E30</f>
        <v>0.86527466265867403</v>
      </c>
      <c r="P10" s="38">
        <f>F10/'Population by Age'!F30</f>
        <v>0.8623730590118972</v>
      </c>
      <c r="Q10" s="38">
        <f>G10/'Population by Age'!G30</f>
        <v>0.86040683063292733</v>
      </c>
      <c r="R10" s="38">
        <f>H10/'Population by Age'!H30</f>
        <v>0.85882541528926071</v>
      </c>
    </row>
    <row r="11" spans="1:18" s="7" customFormat="1" x14ac:dyDescent="0.3">
      <c r="A11" s="36" t="s">
        <v>21</v>
      </c>
      <c r="B11" s="37">
        <v>89406.900727194836</v>
      </c>
      <c r="C11" s="37">
        <v>93965.212113452406</v>
      </c>
      <c r="D11" s="37">
        <v>97613.207836931077</v>
      </c>
      <c r="E11" s="37">
        <v>105358.46908816883</v>
      </c>
      <c r="F11" s="37">
        <v>110540.5472023715</v>
      </c>
      <c r="G11" s="37">
        <v>114492.42427687603</v>
      </c>
      <c r="H11" s="37">
        <v>117967.05046220132</v>
      </c>
      <c r="J11" s="37"/>
      <c r="K11" s="38"/>
      <c r="L11" s="38">
        <f>B11/'Population by Age'!B31</f>
        <v>0.83716678115672571</v>
      </c>
      <c r="M11" s="38">
        <f>C11/'Population by Age'!C31</f>
        <v>0.84445653584834057</v>
      </c>
      <c r="N11" s="38">
        <f>D11/'Population by Age'!D31</f>
        <v>0.85077097517698241</v>
      </c>
      <c r="O11" s="38">
        <f>E11/'Population by Age'!E31</f>
        <v>0.85101709238200063</v>
      </c>
      <c r="P11" s="38">
        <f>F11/'Population by Age'!F31</f>
        <v>0.84851696182975622</v>
      </c>
      <c r="Q11" s="38">
        <f>G11/'Population by Age'!G31</f>
        <v>0.84338780194084872</v>
      </c>
      <c r="R11" s="38">
        <f>H11/'Population by Age'!H31</f>
        <v>0.84154581258392003</v>
      </c>
    </row>
    <row r="12" spans="1:18" s="7" customFormat="1" x14ac:dyDescent="0.3">
      <c r="A12" s="36" t="s">
        <v>47</v>
      </c>
      <c r="B12" s="37">
        <v>22388.943683597266</v>
      </c>
      <c r="C12" s="37">
        <v>21992.315106428869</v>
      </c>
      <c r="D12" s="37">
        <v>21828.74554850077</v>
      </c>
      <c r="E12" s="37">
        <v>21857.745373269539</v>
      </c>
      <c r="F12" s="37">
        <v>22077.094929317875</v>
      </c>
      <c r="G12" s="37">
        <v>22453.776215287082</v>
      </c>
      <c r="H12" s="37">
        <v>22801.514297483351</v>
      </c>
      <c r="J12" s="37"/>
      <c r="K12" s="38"/>
      <c r="L12" s="38">
        <f>B12/'Population by Age'!B32</f>
        <v>0.83236462501291053</v>
      </c>
      <c r="M12" s="38">
        <f>C12/'Population by Age'!C32</f>
        <v>0.84071696572609311</v>
      </c>
      <c r="N12" s="38">
        <f>D12/'Population by Age'!D32</f>
        <v>0.84722474475066056</v>
      </c>
      <c r="O12" s="38">
        <f>E12/'Population by Age'!E32</f>
        <v>0.84637929809368984</v>
      </c>
      <c r="P12" s="38">
        <f>F12/'Population by Age'!F32</f>
        <v>0.84644946435541268</v>
      </c>
      <c r="Q12" s="38">
        <f>G12/'Population by Age'!G32</f>
        <v>0.84635417321097184</v>
      </c>
      <c r="R12" s="38">
        <f>H12/'Population by Age'!H32</f>
        <v>0.84256574892777147</v>
      </c>
    </row>
    <row r="13" spans="1:18" s="7" customFormat="1" x14ac:dyDescent="0.3">
      <c r="A13" s="36" t="s">
        <v>22</v>
      </c>
      <c r="B13" s="37">
        <v>19955.522400684251</v>
      </c>
      <c r="C13" s="37">
        <v>20908.853509856439</v>
      </c>
      <c r="D13" s="37">
        <v>21657.123875801073</v>
      </c>
      <c r="E13" s="37">
        <v>22624.475107541533</v>
      </c>
      <c r="F13" s="37">
        <v>23610.844401915729</v>
      </c>
      <c r="G13" s="37">
        <v>24560.81993694156</v>
      </c>
      <c r="H13" s="37">
        <v>25542.477454461277</v>
      </c>
      <c r="J13" s="37"/>
      <c r="K13" s="38"/>
      <c r="L13" s="38">
        <f>B13/'Population by Age'!B33</f>
        <v>0.71772127753863657</v>
      </c>
      <c r="M13" s="38">
        <f>C13/'Population by Age'!C33</f>
        <v>0.72281444705142039</v>
      </c>
      <c r="N13" s="38">
        <f>D13/'Population by Age'!D33</f>
        <v>0.72716394842027576</v>
      </c>
      <c r="O13" s="38">
        <f>E13/'Population by Age'!E33</f>
        <v>0.72850576724438221</v>
      </c>
      <c r="P13" s="38">
        <f>F13/'Population by Age'!F33</f>
        <v>0.72512651337230827</v>
      </c>
      <c r="Q13" s="38">
        <f>G13/'Population by Age'!G33</f>
        <v>0.72072363216566582</v>
      </c>
      <c r="R13" s="38">
        <f>H13/'Population by Age'!H33</f>
        <v>0.71916201972185934</v>
      </c>
    </row>
    <row r="14" spans="1:18" s="7" customFormat="1" x14ac:dyDescent="0.3">
      <c r="A14" s="36" t="s">
        <v>48</v>
      </c>
      <c r="B14" s="37">
        <v>27946.555937392</v>
      </c>
      <c r="C14" s="37">
        <v>27272.520985541909</v>
      </c>
      <c r="D14" s="37">
        <v>27069.157005003828</v>
      </c>
      <c r="E14" s="37">
        <v>27464.070959415938</v>
      </c>
      <c r="F14" s="37">
        <v>27754.515082121834</v>
      </c>
      <c r="G14" s="37">
        <v>27739.50300577817</v>
      </c>
      <c r="H14" s="37">
        <v>27541.577203681751</v>
      </c>
      <c r="J14" s="37"/>
      <c r="K14" s="38"/>
      <c r="L14" s="38">
        <f>B14/'Population by Age'!B34</f>
        <v>0.70896156516887798</v>
      </c>
      <c r="M14" s="38">
        <f>C14/'Population by Age'!C34</f>
        <v>0.71498849060250391</v>
      </c>
      <c r="N14" s="38">
        <f>D14/'Population by Age'!D34</f>
        <v>0.72221010658743967</v>
      </c>
      <c r="O14" s="38">
        <f>E14/'Population by Age'!E34</f>
        <v>0.72158038305393812</v>
      </c>
      <c r="P14" s="38">
        <f>F14/'Population by Age'!F34</f>
        <v>0.71670794272748439</v>
      </c>
      <c r="Q14" s="38">
        <f>G14/'Population by Age'!G34</f>
        <v>0.71068618071782563</v>
      </c>
      <c r="R14" s="38">
        <f>H14/'Population by Age'!H34</f>
        <v>0.70566955862773195</v>
      </c>
    </row>
    <row r="15" spans="1:18" s="7" customFormat="1" x14ac:dyDescent="0.3">
      <c r="A15" s="36" t="s">
        <v>49</v>
      </c>
      <c r="B15" s="37">
        <v>18035.82831523296</v>
      </c>
      <c r="C15" s="37">
        <v>18578.312813004763</v>
      </c>
      <c r="D15" s="37">
        <v>18773.040241641338</v>
      </c>
      <c r="E15" s="37">
        <v>19295.430438425388</v>
      </c>
      <c r="F15" s="37">
        <v>19800.098876976666</v>
      </c>
      <c r="G15" s="37">
        <v>20351.247403641843</v>
      </c>
      <c r="H15" s="37">
        <v>20982.376314927329</v>
      </c>
      <c r="J15" s="37"/>
      <c r="K15" s="38"/>
      <c r="L15" s="38">
        <f>B15/'Population by Age'!B35</f>
        <v>0.86627417460292799</v>
      </c>
      <c r="M15" s="38">
        <f>C15/'Population by Age'!C35</f>
        <v>0.87625284468468834</v>
      </c>
      <c r="N15" s="38">
        <f>D15/'Population by Age'!D35</f>
        <v>0.87786019367039225</v>
      </c>
      <c r="O15" s="38">
        <f>E15/'Population by Age'!E35</f>
        <v>0.87958382816362257</v>
      </c>
      <c r="P15" s="38">
        <f>F15/'Population by Age'!F35</f>
        <v>0.8807481374038818</v>
      </c>
      <c r="Q15" s="38">
        <f>G15/'Population by Age'!G35</f>
        <v>0.8791795145862209</v>
      </c>
      <c r="R15" s="38">
        <f>H15/'Population by Age'!H35</f>
        <v>0.87568867388369975</v>
      </c>
    </row>
    <row r="16" spans="1:18" s="7" customFormat="1" x14ac:dyDescent="0.3">
      <c r="A16" s="36" t="s">
        <v>50</v>
      </c>
      <c r="B16" s="37">
        <v>15811.990202917554</v>
      </c>
      <c r="C16" s="37">
        <v>16033.768869147732</v>
      </c>
      <c r="D16" s="37">
        <v>15974.35348738153</v>
      </c>
      <c r="E16" s="37">
        <v>16105.777817907177</v>
      </c>
      <c r="F16" s="37">
        <v>16316.897647102944</v>
      </c>
      <c r="G16" s="37">
        <v>16579.870336945147</v>
      </c>
      <c r="H16" s="37">
        <v>16862.283277029728</v>
      </c>
      <c r="J16" s="37"/>
      <c r="K16" s="38"/>
      <c r="L16" s="38">
        <f>B16/'Population by Age'!B36</f>
        <v>0.74874468239973258</v>
      </c>
      <c r="M16" s="38">
        <f>C16/'Population by Age'!C36</f>
        <v>0.75702402592765494</v>
      </c>
      <c r="N16" s="38">
        <f>D16/'Population by Age'!D36</f>
        <v>0.76039382556081159</v>
      </c>
      <c r="O16" s="38">
        <f>E16/'Population by Age'!E36</f>
        <v>0.76074714552487732</v>
      </c>
      <c r="P16" s="38">
        <f>F16/'Population by Age'!F36</f>
        <v>0.75691875711383516</v>
      </c>
      <c r="Q16" s="38">
        <f>G16/'Population by Age'!G36</f>
        <v>0.75373325166818872</v>
      </c>
      <c r="R16" s="38">
        <f>H16/'Population by Age'!H36</f>
        <v>0.75365528189102204</v>
      </c>
    </row>
    <row r="17" spans="1:18" s="7" customFormat="1" x14ac:dyDescent="0.3">
      <c r="A17" s="36" t="s">
        <v>23</v>
      </c>
      <c r="B17" s="37">
        <v>26021.012763209339</v>
      </c>
      <c r="C17" s="37">
        <v>27501.608125870869</v>
      </c>
      <c r="D17" s="37">
        <v>28892.334640637269</v>
      </c>
      <c r="E17" s="37">
        <v>30562.93262478496</v>
      </c>
      <c r="F17" s="37">
        <v>32192.688223823199</v>
      </c>
      <c r="G17" s="37">
        <v>33705.890454472676</v>
      </c>
      <c r="H17" s="37">
        <v>35084.658745638</v>
      </c>
      <c r="J17" s="37"/>
      <c r="K17" s="38"/>
      <c r="L17" s="38">
        <f>B17/'Population by Age'!B37</f>
        <v>0.71315846090962098</v>
      </c>
      <c r="M17" s="38">
        <f>C17/'Population by Age'!C37</f>
        <v>0.71635560745671822</v>
      </c>
      <c r="N17" s="38">
        <f>D17/'Population by Age'!D37</f>
        <v>0.71912623243739626</v>
      </c>
      <c r="O17" s="38">
        <f>E17/'Population by Age'!E37</f>
        <v>0.72176012810922097</v>
      </c>
      <c r="P17" s="38">
        <f>F17/'Population by Age'!F37</f>
        <v>0.72033940220230475</v>
      </c>
      <c r="Q17" s="38">
        <f>G17/'Population by Age'!G37</f>
        <v>0.71982681162782014</v>
      </c>
      <c r="R17" s="38">
        <f>H17/'Population by Age'!H37</f>
        <v>0.71629118935174863</v>
      </c>
    </row>
    <row r="18" spans="1:18" s="7" customFormat="1" x14ac:dyDescent="0.3">
      <c r="A18" s="36" t="s">
        <v>51</v>
      </c>
      <c r="B18" s="37">
        <v>32726.806721341734</v>
      </c>
      <c r="C18" s="37">
        <v>31972.512013380761</v>
      </c>
      <c r="D18" s="37">
        <v>31439.577545370554</v>
      </c>
      <c r="E18" s="37">
        <v>31224.037883908288</v>
      </c>
      <c r="F18" s="37">
        <v>31190.814582032217</v>
      </c>
      <c r="G18" s="37">
        <v>31167.777017505687</v>
      </c>
      <c r="H18" s="37">
        <v>31128.482339472313</v>
      </c>
      <c r="J18" s="39"/>
      <c r="K18" s="38"/>
      <c r="L18" s="38">
        <f>B18/'Population by Age'!B38</f>
        <v>0.69156238449256668</v>
      </c>
      <c r="M18" s="38">
        <f>C18/'Population by Age'!C38</f>
        <v>0.69912778827474764</v>
      </c>
      <c r="N18" s="38">
        <f>D18/'Population by Age'!D38</f>
        <v>0.70267030698367461</v>
      </c>
      <c r="O18" s="38">
        <f>E18/'Population by Age'!E38</f>
        <v>0.7044816994699763</v>
      </c>
      <c r="P18" s="38">
        <f>F18/'Population by Age'!F38</f>
        <v>0.70052362901812948</v>
      </c>
      <c r="Q18" s="38">
        <f>G18/'Population by Age'!G38</f>
        <v>0.70082470302218625</v>
      </c>
      <c r="R18" s="38">
        <f>H18/'Population by Age'!H38</f>
        <v>0.69926503593027933</v>
      </c>
    </row>
    <row r="19" spans="1:18" s="7" customFormat="1" x14ac:dyDescent="0.3">
      <c r="A19" s="36" t="s">
        <v>24</v>
      </c>
      <c r="B19" s="37">
        <v>32882.176087456726</v>
      </c>
      <c r="C19" s="37">
        <v>33740.532229246899</v>
      </c>
      <c r="D19" s="37">
        <v>35959.18321522465</v>
      </c>
      <c r="E19" s="37">
        <v>38741.01682175442</v>
      </c>
      <c r="F19" s="37">
        <v>41973.974152222996</v>
      </c>
      <c r="G19" s="37">
        <v>45509.674242656234</v>
      </c>
      <c r="H19" s="37">
        <v>48938.989581236361</v>
      </c>
      <c r="J19" s="39"/>
      <c r="K19" s="59"/>
      <c r="L19" s="38">
        <f>B19/'Population by Age'!B39</f>
        <v>0.82981315518742049</v>
      </c>
      <c r="M19" s="38">
        <f>C19/'Population by Age'!C39</f>
        <v>0.82912793604086354</v>
      </c>
      <c r="N19" s="38">
        <f>D19/'Population by Age'!D39</f>
        <v>0.83341097214695459</v>
      </c>
      <c r="O19" s="38">
        <f>E19/'Population by Age'!E39</f>
        <v>0.83637773794806602</v>
      </c>
      <c r="P19" s="38">
        <f>F19/'Population by Age'!F39</f>
        <v>0.83979860651493554</v>
      </c>
      <c r="Q19" s="38">
        <f>G19/'Population by Age'!G39</f>
        <v>0.83894986252730586</v>
      </c>
      <c r="R19" s="38">
        <f>H19/'Population by Age'!H39</f>
        <v>0.83682140797572524</v>
      </c>
    </row>
    <row r="20" spans="1:18" s="43" customFormat="1" x14ac:dyDescent="0.3">
      <c r="A20" s="40" t="s">
        <v>86</v>
      </c>
      <c r="B20" s="41">
        <f t="shared" ref="B20:H20" si="0">SUM(B5:B19)</f>
        <v>1262535.4791112496</v>
      </c>
      <c r="C20" s="41">
        <f t="shared" si="0"/>
        <v>1316066.3248907232</v>
      </c>
      <c r="D20" s="41">
        <f t="shared" si="0"/>
        <v>1366083.2385599024</v>
      </c>
      <c r="E20" s="41">
        <f t="shared" si="0"/>
        <v>1439248.0334665813</v>
      </c>
      <c r="F20" s="41">
        <f t="shared" si="0"/>
        <v>1504751.9062270962</v>
      </c>
      <c r="G20" s="41">
        <f t="shared" si="0"/>
        <v>1564248.8871142576</v>
      </c>
      <c r="H20" s="41">
        <f t="shared" si="0"/>
        <v>1619518.7724311468</v>
      </c>
      <c r="J20" s="54"/>
      <c r="K20" s="60"/>
      <c r="L20" s="42">
        <f>B20/'Population by Age'!B40</f>
        <v>0.83769340494138933</v>
      </c>
      <c r="M20" s="42">
        <f>C20/'Population by Age'!C40</f>
        <v>0.84473312007938761</v>
      </c>
      <c r="N20" s="42">
        <f>D20/'Population by Age'!D40</f>
        <v>0.84922417503141034</v>
      </c>
      <c r="O20" s="42">
        <f>E20/'Population by Age'!E40</f>
        <v>0.84826211878490232</v>
      </c>
      <c r="P20" s="42">
        <f>F20/'Population by Age'!F40</f>
        <v>0.84777525475598425</v>
      </c>
      <c r="Q20" s="42">
        <f>G20/'Population by Age'!G40</f>
        <v>0.84524067809194992</v>
      </c>
      <c r="R20" s="42">
        <f>H20/'Population by Age'!H40</f>
        <v>0.84502612920487419</v>
      </c>
    </row>
    <row r="22" spans="1:18" s="9" customFormat="1" ht="26.25" customHeight="1" x14ac:dyDescent="0.3">
      <c r="A22" s="90" t="s">
        <v>70</v>
      </c>
      <c r="B22" s="90"/>
      <c r="C22" s="90"/>
      <c r="D22" s="90"/>
      <c r="E22" s="90"/>
      <c r="F22" s="90"/>
      <c r="G22" s="90"/>
      <c r="H22" s="90"/>
      <c r="I22" s="90"/>
      <c r="J22" s="90"/>
      <c r="K22" s="90"/>
      <c r="L22" s="90"/>
      <c r="M22" s="90"/>
      <c r="N22" s="90"/>
      <c r="O22" s="90"/>
      <c r="P22" s="90"/>
      <c r="Q22" s="90"/>
    </row>
    <row r="23" spans="1:18" s="9" customFormat="1" ht="15.75" customHeight="1" x14ac:dyDescent="0.3">
      <c r="A23" s="10"/>
      <c r="B23" s="18" t="s">
        <v>60</v>
      </c>
      <c r="C23" s="93" t="s">
        <v>61</v>
      </c>
      <c r="D23" s="93"/>
      <c r="E23" s="93"/>
      <c r="F23" s="93"/>
      <c r="G23" s="93"/>
      <c r="H23" s="93"/>
      <c r="I23" s="51"/>
      <c r="J23" s="10"/>
      <c r="L23" s="93" t="s">
        <v>87</v>
      </c>
      <c r="M23" s="93"/>
      <c r="N23" s="93"/>
      <c r="O23" s="93"/>
      <c r="P23" s="93"/>
      <c r="Q23" s="93"/>
      <c r="R23" s="93"/>
    </row>
    <row r="24" spans="1:18" x14ac:dyDescent="0.3">
      <c r="B24" s="4">
        <v>2020</v>
      </c>
      <c r="C24" s="4">
        <v>2025</v>
      </c>
      <c r="D24" s="4">
        <v>2030</v>
      </c>
      <c r="E24" s="4">
        <v>2035</v>
      </c>
      <c r="F24" s="4">
        <v>2040</v>
      </c>
      <c r="G24" s="4">
        <v>2045</v>
      </c>
      <c r="H24" s="4">
        <v>2050</v>
      </c>
      <c r="K24" s="4"/>
      <c r="L24" s="4">
        <v>2020</v>
      </c>
      <c r="M24" s="4">
        <v>2025</v>
      </c>
      <c r="N24" s="4">
        <v>2030</v>
      </c>
      <c r="O24" s="4">
        <v>2035</v>
      </c>
      <c r="P24" s="4">
        <v>2040</v>
      </c>
      <c r="Q24" s="4">
        <v>2045</v>
      </c>
      <c r="R24" s="4">
        <v>2050</v>
      </c>
    </row>
    <row r="25" spans="1:18" s="13" customFormat="1" x14ac:dyDescent="0.3">
      <c r="A25" s="36" t="s">
        <v>18</v>
      </c>
      <c r="B25" s="37">
        <v>111823.50230461061</v>
      </c>
      <c r="C25" s="37">
        <v>128006.62597905808</v>
      </c>
      <c r="D25" s="37">
        <v>142088.17062076132</v>
      </c>
      <c r="E25" s="37">
        <v>157109.94429689675</v>
      </c>
      <c r="F25" s="37">
        <v>171104.14291872585</v>
      </c>
      <c r="G25" s="37">
        <v>184757.85486302784</v>
      </c>
      <c r="H25" s="37">
        <v>199090.56013066179</v>
      </c>
      <c r="J25" s="37"/>
      <c r="K25" s="38"/>
      <c r="L25" s="38">
        <f t="shared" ref="L25:L40" si="1">1-(B25/B5)</f>
        <v>2.6699412033932335E-2</v>
      </c>
      <c r="M25" s="38">
        <f t="shared" ref="M25:M40" si="2">1-(C25/C5)</f>
        <v>2.6393527914940096E-2</v>
      </c>
      <c r="N25" s="38">
        <f t="shared" ref="N25:N40" si="3">1-(D25/D5)</f>
        <v>2.6155668336617532E-2</v>
      </c>
      <c r="O25" s="38">
        <f t="shared" ref="O25:O40" si="4">1-(E25/E5)</f>
        <v>2.5883060248203305E-2</v>
      </c>
      <c r="P25" s="38">
        <f t="shared" ref="P25:P40" si="5">1-(F25/F5)</f>
        <v>2.5765704531647615E-2</v>
      </c>
      <c r="Q25" s="38">
        <f t="shared" ref="Q25:Q40" si="6">1-(G25/G5)</f>
        <v>2.5773256945631706E-2</v>
      </c>
      <c r="R25" s="38">
        <f t="shared" ref="R25:R40" si="7">1-(H25/H5)</f>
        <v>2.5897649510883025E-2</v>
      </c>
    </row>
    <row r="26" spans="1:18" s="13" customFormat="1" x14ac:dyDescent="0.3">
      <c r="A26" s="36" t="s">
        <v>19</v>
      </c>
      <c r="B26" s="37">
        <v>76347.246613453506</v>
      </c>
      <c r="C26" s="37">
        <v>79760.693484117801</v>
      </c>
      <c r="D26" s="37">
        <v>82935.604092217574</v>
      </c>
      <c r="E26" s="37">
        <v>87410.685237433252</v>
      </c>
      <c r="F26" s="37">
        <v>92080.632768694981</v>
      </c>
      <c r="G26" s="37">
        <v>96820.909123621081</v>
      </c>
      <c r="H26" s="37">
        <v>101371.46180866608</v>
      </c>
      <c r="J26" s="37"/>
      <c r="K26" s="38"/>
      <c r="L26" s="38">
        <f t="shared" si="1"/>
        <v>4.2187219579460589E-2</v>
      </c>
      <c r="M26" s="38">
        <f t="shared" si="2"/>
        <v>4.2443333105338099E-2</v>
      </c>
      <c r="N26" s="38">
        <f t="shared" si="3"/>
        <v>4.2323513757210107E-2</v>
      </c>
      <c r="O26" s="38">
        <f t="shared" si="4"/>
        <v>4.2182039542051131E-2</v>
      </c>
      <c r="P26" s="38">
        <f t="shared" si="5"/>
        <v>4.2174152040254875E-2</v>
      </c>
      <c r="Q26" s="38">
        <f t="shared" si="6"/>
        <v>4.2242978685626542E-2</v>
      </c>
      <c r="R26" s="38">
        <f t="shared" si="7"/>
        <v>4.2348944729380888E-2</v>
      </c>
    </row>
    <row r="27" spans="1:18" x14ac:dyDescent="0.3">
      <c r="A27" s="36" t="s">
        <v>44</v>
      </c>
      <c r="B27" s="37">
        <v>12431.12555691775</v>
      </c>
      <c r="C27" s="37">
        <v>12597.454777065854</v>
      </c>
      <c r="D27" s="37">
        <v>12828.405304365286</v>
      </c>
      <c r="E27" s="37">
        <v>13025.054876818471</v>
      </c>
      <c r="F27" s="37">
        <v>13226.895906495574</v>
      </c>
      <c r="G27" s="37">
        <v>13478.678642299115</v>
      </c>
      <c r="H27" s="37">
        <v>13770.887130910869</v>
      </c>
      <c r="J27" s="37"/>
      <c r="K27" s="38"/>
      <c r="L27" s="38">
        <f t="shared" si="1"/>
        <v>5.0066105485801149E-2</v>
      </c>
      <c r="M27" s="38">
        <f t="shared" si="2"/>
        <v>5.0319338047006723E-2</v>
      </c>
      <c r="N27" s="38">
        <f t="shared" si="3"/>
        <v>5.0161685799508415E-2</v>
      </c>
      <c r="O27" s="38">
        <f t="shared" si="4"/>
        <v>5.0388876713506781E-2</v>
      </c>
      <c r="P27" s="38">
        <f t="shared" si="5"/>
        <v>4.9407606228865641E-2</v>
      </c>
      <c r="Q27" s="38">
        <f t="shared" si="6"/>
        <v>4.9132107753438903E-2</v>
      </c>
      <c r="R27" s="38">
        <f t="shared" si="7"/>
        <v>4.9319788551379196E-2</v>
      </c>
    </row>
    <row r="28" spans="1:18" s="13" customFormat="1" x14ac:dyDescent="0.3">
      <c r="A28" s="36" t="s">
        <v>20</v>
      </c>
      <c r="B28" s="37">
        <v>690360.95177202183</v>
      </c>
      <c r="C28" s="37">
        <v>715734.89206661144</v>
      </c>
      <c r="D28" s="37">
        <v>739552.4209681974</v>
      </c>
      <c r="E28" s="37">
        <v>776337.46427707921</v>
      </c>
      <c r="F28" s="37">
        <v>807962.48571818194</v>
      </c>
      <c r="G28" s="37">
        <v>835003.07551983162</v>
      </c>
      <c r="H28" s="37">
        <v>858361.98289158661</v>
      </c>
      <c r="J28" s="37"/>
      <c r="K28" s="38"/>
      <c r="L28" s="38">
        <f t="shared" si="1"/>
        <v>4.9165916164204959E-2</v>
      </c>
      <c r="M28" s="38">
        <f t="shared" si="2"/>
        <v>4.9237491904951081E-2</v>
      </c>
      <c r="N28" s="38">
        <f t="shared" si="3"/>
        <v>4.9365486908920952E-2</v>
      </c>
      <c r="O28" s="38">
        <f t="shared" si="4"/>
        <v>4.9088180102296652E-2</v>
      </c>
      <c r="P28" s="38">
        <f t="shared" si="5"/>
        <v>4.9103397505226631E-2</v>
      </c>
      <c r="Q28" s="38">
        <f t="shared" si="6"/>
        <v>4.9050638769573385E-2</v>
      </c>
      <c r="R28" s="38">
        <f t="shared" si="7"/>
        <v>4.8993342863948408E-2</v>
      </c>
    </row>
    <row r="29" spans="1:18" x14ac:dyDescent="0.3">
      <c r="A29" s="36" t="s">
        <v>45</v>
      </c>
      <c r="B29" s="37">
        <v>12643.387747963496</v>
      </c>
      <c r="C29" s="37">
        <v>12312.200127741908</v>
      </c>
      <c r="D29" s="37">
        <v>11974.164838538241</v>
      </c>
      <c r="E29" s="37">
        <v>11825.885325459165</v>
      </c>
      <c r="F29" s="37">
        <v>11744.511507541847</v>
      </c>
      <c r="G29" s="37">
        <v>11724.734834209252</v>
      </c>
      <c r="H29" s="37">
        <v>11670.925997705837</v>
      </c>
      <c r="J29" s="37"/>
      <c r="K29" s="38"/>
      <c r="L29" s="38">
        <f t="shared" si="1"/>
        <v>3.7913932509351045E-2</v>
      </c>
      <c r="M29" s="38">
        <f t="shared" si="2"/>
        <v>3.7268779858905976E-2</v>
      </c>
      <c r="N29" s="38">
        <f t="shared" si="3"/>
        <v>3.7256034097140178E-2</v>
      </c>
      <c r="O29" s="38">
        <f t="shared" si="4"/>
        <v>3.7215546329602445E-2</v>
      </c>
      <c r="P29" s="38">
        <f t="shared" si="5"/>
        <v>3.7042143273773309E-2</v>
      </c>
      <c r="Q29" s="38">
        <f t="shared" si="6"/>
        <v>3.7188500975408378E-2</v>
      </c>
      <c r="R29" s="38">
        <f t="shared" si="7"/>
        <v>3.7480416974480013E-2</v>
      </c>
    </row>
    <row r="30" spans="1:18" x14ac:dyDescent="0.3">
      <c r="A30" s="36" t="s">
        <v>46</v>
      </c>
      <c r="B30" s="37">
        <v>29158.3925879737</v>
      </c>
      <c r="C30" s="37">
        <v>29147.430574593196</v>
      </c>
      <c r="D30" s="37">
        <v>29137.206862875428</v>
      </c>
      <c r="E30" s="37">
        <v>29692.543198556603</v>
      </c>
      <c r="F30" s="37">
        <v>30332.823813901683</v>
      </c>
      <c r="G30" s="37">
        <v>31082.578296249718</v>
      </c>
      <c r="H30" s="37">
        <v>31761.577652441294</v>
      </c>
      <c r="J30" s="37"/>
      <c r="K30" s="38"/>
      <c r="L30" s="38">
        <f t="shared" si="1"/>
        <v>4.3124714421376442E-2</v>
      </c>
      <c r="M30" s="38">
        <f t="shared" si="2"/>
        <v>4.3505728509922514E-2</v>
      </c>
      <c r="N30" s="38">
        <f t="shared" si="3"/>
        <v>4.377915661282239E-2</v>
      </c>
      <c r="O30" s="38">
        <f t="shared" si="4"/>
        <v>4.3916658605541059E-2</v>
      </c>
      <c r="P30" s="38">
        <f t="shared" si="5"/>
        <v>4.4167826107624708E-2</v>
      </c>
      <c r="Q30" s="38">
        <f t="shared" si="6"/>
        <v>4.4351001508784238E-2</v>
      </c>
      <c r="R30" s="38">
        <f t="shared" si="7"/>
        <v>4.4427220792252253E-2</v>
      </c>
    </row>
    <row r="31" spans="1:18" s="13" customFormat="1" x14ac:dyDescent="0.3">
      <c r="A31" s="36" t="s">
        <v>21</v>
      </c>
      <c r="B31" s="37">
        <v>85902.536935572411</v>
      </c>
      <c r="C31" s="37">
        <v>90274.538438393502</v>
      </c>
      <c r="D31" s="37">
        <v>93767.987711073394</v>
      </c>
      <c r="E31" s="37">
        <v>101203.65949462901</v>
      </c>
      <c r="F31" s="37">
        <v>106181.88291663365</v>
      </c>
      <c r="G31" s="37">
        <v>109994.77891065257</v>
      </c>
      <c r="H31" s="37">
        <v>113350.08255496384</v>
      </c>
      <c r="J31" s="37"/>
      <c r="K31" s="38"/>
      <c r="L31" s="38">
        <f t="shared" si="1"/>
        <v>3.9195674641661182E-2</v>
      </c>
      <c r="M31" s="38">
        <f t="shared" si="2"/>
        <v>3.9277021698230552E-2</v>
      </c>
      <c r="N31" s="38">
        <f t="shared" si="3"/>
        <v>3.9392416365225502E-2</v>
      </c>
      <c r="O31" s="38">
        <f t="shared" si="4"/>
        <v>3.9434984482005664E-2</v>
      </c>
      <c r="P31" s="38">
        <f t="shared" si="5"/>
        <v>3.9430456932316837E-2</v>
      </c>
      <c r="Q31" s="38">
        <f t="shared" si="6"/>
        <v>3.9283344680926979E-2</v>
      </c>
      <c r="R31" s="38">
        <f t="shared" si="7"/>
        <v>3.9137775244425965E-2</v>
      </c>
    </row>
    <row r="32" spans="1:18" x14ac:dyDescent="0.3">
      <c r="A32" s="36" t="s">
        <v>47</v>
      </c>
      <c r="B32" s="37">
        <v>21388.480349758844</v>
      </c>
      <c r="C32" s="37">
        <v>21022.465796035598</v>
      </c>
      <c r="D32" s="37">
        <v>20869.831118399139</v>
      </c>
      <c r="E32" s="37">
        <v>20901.565172071954</v>
      </c>
      <c r="F32" s="37">
        <v>21107.152294881911</v>
      </c>
      <c r="G32" s="37">
        <v>21462.942474625732</v>
      </c>
      <c r="H32" s="37">
        <v>21791.719145030584</v>
      </c>
      <c r="J32" s="37"/>
      <c r="K32" s="38"/>
      <c r="L32" s="38">
        <f t="shared" si="1"/>
        <v>4.468559785477455E-2</v>
      </c>
      <c r="M32" s="38">
        <f t="shared" si="2"/>
        <v>4.4099464094608298E-2</v>
      </c>
      <c r="N32" s="38">
        <f t="shared" si="3"/>
        <v>4.3928975578145013E-2</v>
      </c>
      <c r="O32" s="38">
        <f t="shared" si="4"/>
        <v>4.3745600695254017E-2</v>
      </c>
      <c r="P32" s="38">
        <f t="shared" si="5"/>
        <v>4.3934341793670617E-2</v>
      </c>
      <c r="Q32" s="38">
        <f t="shared" si="6"/>
        <v>4.4127710687112187E-2</v>
      </c>
      <c r="R32" s="38">
        <f t="shared" si="7"/>
        <v>4.4286319727642853E-2</v>
      </c>
    </row>
    <row r="33" spans="1:18" s="13" customFormat="1" x14ac:dyDescent="0.3">
      <c r="A33" s="36" t="s">
        <v>22</v>
      </c>
      <c r="B33" s="37">
        <v>19186.00129613735</v>
      </c>
      <c r="C33" s="37">
        <v>20105.598946439604</v>
      </c>
      <c r="D33" s="37">
        <v>20831.418744869145</v>
      </c>
      <c r="E33" s="37">
        <v>21764.601398616935</v>
      </c>
      <c r="F33" s="37">
        <v>22723.979665058516</v>
      </c>
      <c r="G33" s="37">
        <v>23654.761555034525</v>
      </c>
      <c r="H33" s="37">
        <v>24605.559183060464</v>
      </c>
      <c r="J33" s="37"/>
      <c r="K33" s="38"/>
      <c r="L33" s="38">
        <f t="shared" si="1"/>
        <v>3.8561812068648949E-2</v>
      </c>
      <c r="M33" s="38">
        <f t="shared" si="2"/>
        <v>3.8416958779599275E-2</v>
      </c>
      <c r="N33" s="38">
        <f t="shared" si="3"/>
        <v>3.8126259777945037E-2</v>
      </c>
      <c r="O33" s="38">
        <f t="shared" si="4"/>
        <v>3.8006349532412886E-2</v>
      </c>
      <c r="P33" s="38">
        <f t="shared" si="5"/>
        <v>3.7561754326128849E-2</v>
      </c>
      <c r="Q33" s="38">
        <f t="shared" si="6"/>
        <v>3.6890396339913978E-2</v>
      </c>
      <c r="R33" s="38">
        <f t="shared" si="7"/>
        <v>3.6680790775726835E-2</v>
      </c>
    </row>
    <row r="34" spans="1:18" x14ac:dyDescent="0.3">
      <c r="A34" s="36" t="s">
        <v>48</v>
      </c>
      <c r="B34" s="37">
        <v>26201.029145949768</v>
      </c>
      <c r="C34" s="37">
        <v>25549.809726010495</v>
      </c>
      <c r="D34" s="37">
        <v>25334.405695511061</v>
      </c>
      <c r="E34" s="37">
        <v>25686.583572381187</v>
      </c>
      <c r="F34" s="37">
        <v>25957.783595850531</v>
      </c>
      <c r="G34" s="37">
        <v>25958.266950977897</v>
      </c>
      <c r="H34" s="37">
        <v>25798.324927666476</v>
      </c>
      <c r="J34" s="37"/>
      <c r="K34" s="38"/>
      <c r="L34" s="38">
        <f t="shared" si="1"/>
        <v>6.2459459954661178E-2</v>
      </c>
      <c r="M34" s="38">
        <f t="shared" si="2"/>
        <v>6.316655729936671E-2</v>
      </c>
      <c r="N34" s="38">
        <f t="shared" si="3"/>
        <v>6.4085900760488812E-2</v>
      </c>
      <c r="O34" s="38">
        <f t="shared" si="4"/>
        <v>6.4720462951809665E-2</v>
      </c>
      <c r="P34" s="38">
        <f t="shared" si="5"/>
        <v>6.4736547583519988E-2</v>
      </c>
      <c r="Q34" s="38">
        <f t="shared" si="6"/>
        <v>6.4212976506076491E-2</v>
      </c>
      <c r="R34" s="38">
        <f t="shared" si="7"/>
        <v>6.3295295803983187E-2</v>
      </c>
    </row>
    <row r="35" spans="1:18" x14ac:dyDescent="0.3">
      <c r="A35" s="36" t="s">
        <v>49</v>
      </c>
      <c r="B35" s="37">
        <v>17535.005406585951</v>
      </c>
      <c r="C35" s="37">
        <v>18063.126912501033</v>
      </c>
      <c r="D35" s="37">
        <v>18272.944466104622</v>
      </c>
      <c r="E35" s="37">
        <v>18785.608410841982</v>
      </c>
      <c r="F35" s="37">
        <v>19265.301701889737</v>
      </c>
      <c r="G35" s="37">
        <v>19803.766364592513</v>
      </c>
      <c r="H35" s="37">
        <v>20422.376279397307</v>
      </c>
      <c r="J35" s="37"/>
      <c r="K35" s="38"/>
      <c r="L35" s="38">
        <f t="shared" si="1"/>
        <v>2.7768223332665931E-2</v>
      </c>
      <c r="M35" s="38">
        <f t="shared" si="2"/>
        <v>2.7730499840819878E-2</v>
      </c>
      <c r="N35" s="38">
        <f t="shared" si="3"/>
        <v>2.6639040299260119E-2</v>
      </c>
      <c r="O35" s="38">
        <f t="shared" si="4"/>
        <v>2.6421904875888913E-2</v>
      </c>
      <c r="P35" s="38">
        <f t="shared" si="5"/>
        <v>2.7009823456426552E-2</v>
      </c>
      <c r="Q35" s="38">
        <f t="shared" si="6"/>
        <v>2.6901596162177133E-2</v>
      </c>
      <c r="R35" s="38">
        <f t="shared" si="7"/>
        <v>2.6689066439611331E-2</v>
      </c>
    </row>
    <row r="36" spans="1:18" x14ac:dyDescent="0.3">
      <c r="A36" s="36" t="s">
        <v>50</v>
      </c>
      <c r="B36" s="37">
        <v>14855.114073715054</v>
      </c>
      <c r="C36" s="37">
        <v>15057.065151280598</v>
      </c>
      <c r="D36" s="37">
        <v>15009.651547880199</v>
      </c>
      <c r="E36" s="37">
        <v>15144.063172058439</v>
      </c>
      <c r="F36" s="37">
        <v>15335.683103668707</v>
      </c>
      <c r="G36" s="37">
        <v>15578.47875226342</v>
      </c>
      <c r="H36" s="37">
        <v>15843.426634100868</v>
      </c>
      <c r="J36" s="37"/>
      <c r="K36" s="38"/>
      <c r="L36" s="38">
        <f t="shared" si="1"/>
        <v>6.0515856443292049E-2</v>
      </c>
      <c r="M36" s="38">
        <f t="shared" si="2"/>
        <v>6.0915417069938749E-2</v>
      </c>
      <c r="N36" s="38">
        <f t="shared" si="3"/>
        <v>6.039067185181346E-2</v>
      </c>
      <c r="O36" s="38">
        <f t="shared" si="4"/>
        <v>5.9712399905297198E-2</v>
      </c>
      <c r="P36" s="38">
        <f t="shared" si="5"/>
        <v>6.0134871509012089E-2</v>
      </c>
      <c r="Q36" s="38">
        <f t="shared" si="6"/>
        <v>6.0398034745200224E-2</v>
      </c>
      <c r="R36" s="38">
        <f t="shared" si="7"/>
        <v>6.0422223146777254E-2</v>
      </c>
    </row>
    <row r="37" spans="1:18" s="13" customFormat="1" x14ac:dyDescent="0.3">
      <c r="A37" s="36" t="s">
        <v>23</v>
      </c>
      <c r="B37" s="37">
        <v>24857.627349103092</v>
      </c>
      <c r="C37" s="37">
        <v>26283.215451169388</v>
      </c>
      <c r="D37" s="37">
        <v>27614.421872442817</v>
      </c>
      <c r="E37" s="37">
        <v>29213.180547033156</v>
      </c>
      <c r="F37" s="37">
        <v>30793.115620329194</v>
      </c>
      <c r="G37" s="37">
        <v>32249.608985616745</v>
      </c>
      <c r="H37" s="37">
        <v>33584.036864976944</v>
      </c>
      <c r="J37" s="37"/>
      <c r="K37" s="38"/>
      <c r="L37" s="38">
        <f t="shared" si="1"/>
        <v>4.4709459416242936E-2</v>
      </c>
      <c r="M37" s="38">
        <f t="shared" si="2"/>
        <v>4.430259747448495E-2</v>
      </c>
      <c r="N37" s="38">
        <f t="shared" si="3"/>
        <v>4.4230166377661195E-2</v>
      </c>
      <c r="O37" s="38">
        <f t="shared" si="4"/>
        <v>4.4163042019639942E-2</v>
      </c>
      <c r="P37" s="38">
        <f t="shared" si="5"/>
        <v>4.3474859687495648E-2</v>
      </c>
      <c r="Q37" s="38">
        <f t="shared" si="6"/>
        <v>4.3205548027961505E-2</v>
      </c>
      <c r="R37" s="38">
        <f t="shared" si="7"/>
        <v>4.2771454370996942E-2</v>
      </c>
    </row>
    <row r="38" spans="1:18" x14ac:dyDescent="0.3">
      <c r="A38" s="36" t="s">
        <v>51</v>
      </c>
      <c r="B38" s="37">
        <v>30667.823066914618</v>
      </c>
      <c r="C38" s="37">
        <v>29940.636285841334</v>
      </c>
      <c r="D38" s="37">
        <v>29429.995416772588</v>
      </c>
      <c r="E38" s="37">
        <v>29215.990269009399</v>
      </c>
      <c r="F38" s="37">
        <v>29196.933089390885</v>
      </c>
      <c r="G38" s="37">
        <v>29179.278820256612</v>
      </c>
      <c r="H38" s="37">
        <v>29153.949877100651</v>
      </c>
      <c r="J38" s="39"/>
      <c r="K38" s="38"/>
      <c r="L38" s="38">
        <f t="shared" si="1"/>
        <v>6.2914285281747806E-2</v>
      </c>
      <c r="M38" s="38">
        <f t="shared" si="2"/>
        <v>6.3550706515930644E-2</v>
      </c>
      <c r="N38" s="38">
        <f t="shared" si="3"/>
        <v>6.3918865503136302E-2</v>
      </c>
      <c r="O38" s="38">
        <f t="shared" si="4"/>
        <v>6.4310952425975731E-2</v>
      </c>
      <c r="P38" s="38">
        <f t="shared" si="5"/>
        <v>6.3925277981996875E-2</v>
      </c>
      <c r="Q38" s="38">
        <f t="shared" si="6"/>
        <v>6.3799808248506618E-2</v>
      </c>
      <c r="R38" s="38">
        <f t="shared" si="7"/>
        <v>6.3431697081738792E-2</v>
      </c>
    </row>
    <row r="39" spans="1:18" s="13" customFormat="1" x14ac:dyDescent="0.3">
      <c r="A39" s="36" t="s">
        <v>24</v>
      </c>
      <c r="B39" s="37">
        <v>31920.045417440888</v>
      </c>
      <c r="C39" s="37">
        <v>32773.430593586127</v>
      </c>
      <c r="D39" s="37">
        <v>34938.226452414136</v>
      </c>
      <c r="E39" s="37">
        <v>37625.14305359096</v>
      </c>
      <c r="F39" s="37">
        <v>40733.209701056738</v>
      </c>
      <c r="G39" s="37">
        <v>44136.47061021821</v>
      </c>
      <c r="H39" s="37">
        <v>47472.250110714951</v>
      </c>
      <c r="J39" s="39"/>
      <c r="K39" s="59"/>
      <c r="L39" s="38">
        <f t="shared" si="1"/>
        <v>2.9259945189054948E-2</v>
      </c>
      <c r="M39" s="38">
        <f t="shared" si="2"/>
        <v>2.8662903984142618E-2</v>
      </c>
      <c r="N39" s="38">
        <f t="shared" si="3"/>
        <v>2.8392101030210726E-2</v>
      </c>
      <c r="O39" s="38">
        <f t="shared" si="4"/>
        <v>2.8803419726888935E-2</v>
      </c>
      <c r="P39" s="38">
        <f t="shared" si="5"/>
        <v>2.9560328184948581E-2</v>
      </c>
      <c r="Q39" s="38">
        <f t="shared" si="6"/>
        <v>3.0173884021145514E-2</v>
      </c>
      <c r="R39" s="38">
        <f t="shared" si="7"/>
        <v>2.9970775511960479E-2</v>
      </c>
    </row>
    <row r="40" spans="1:18" s="19" customFormat="1" x14ac:dyDescent="0.3">
      <c r="A40" s="40" t="s">
        <v>86</v>
      </c>
      <c r="B40" s="41">
        <f t="shared" ref="B40:H40" si="8">SUM(B25:B39)</f>
        <v>1205278.2696241189</v>
      </c>
      <c r="C40" s="41">
        <f t="shared" si="8"/>
        <v>1256629.1843104458</v>
      </c>
      <c r="D40" s="41">
        <f t="shared" si="8"/>
        <v>1304584.8557124222</v>
      </c>
      <c r="E40" s="41">
        <f t="shared" si="8"/>
        <v>1374941.9723024769</v>
      </c>
      <c r="F40" s="41">
        <f t="shared" si="8"/>
        <v>1437746.5343223021</v>
      </c>
      <c r="G40" s="41">
        <f t="shared" si="8"/>
        <v>1494886.184703477</v>
      </c>
      <c r="H40" s="41">
        <f t="shared" si="8"/>
        <v>1548049.1211889847</v>
      </c>
      <c r="J40" s="54"/>
      <c r="K40" s="60"/>
      <c r="L40" s="42">
        <f t="shared" si="1"/>
        <v>4.5350970673264879E-2</v>
      </c>
      <c r="M40" s="42">
        <f t="shared" si="2"/>
        <v>4.5162724291431644E-2</v>
      </c>
      <c r="N40" s="42">
        <f t="shared" si="3"/>
        <v>4.5018034854384603E-2</v>
      </c>
      <c r="O40" s="42">
        <f t="shared" si="4"/>
        <v>4.4680318936560548E-2</v>
      </c>
      <c r="P40" s="42">
        <f t="shared" si="5"/>
        <v>4.4529182270849232E-2</v>
      </c>
      <c r="Q40" s="42">
        <f t="shared" si="6"/>
        <v>4.4342497528472968E-2</v>
      </c>
      <c r="R40" s="42">
        <f t="shared" si="7"/>
        <v>4.4130177716233066E-2</v>
      </c>
    </row>
    <row r="43" spans="1:18" x14ac:dyDescent="0.3">
      <c r="A43" s="21">
        <v>1</v>
      </c>
      <c r="B43" s="21" t="s">
        <v>134</v>
      </c>
    </row>
    <row r="45" spans="1:18" x14ac:dyDescent="0.3">
      <c r="B45" s="50" t="s">
        <v>112</v>
      </c>
    </row>
  </sheetData>
  <mergeCells count="7">
    <mergeCell ref="C1:R1"/>
    <mergeCell ref="A2:R2"/>
    <mergeCell ref="A22:Q22"/>
    <mergeCell ref="C23:H23"/>
    <mergeCell ref="C3:H3"/>
    <mergeCell ref="L3:R3"/>
    <mergeCell ref="L23:R23"/>
  </mergeCells>
  <pageMargins left="0.7" right="0.7" top="0.75" bottom="0.75" header="0.3" footer="0.3"/>
  <pageSetup orientation="portrait" horizontalDpi="1200" verticalDpi="1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11C27-97DF-4DE8-A0F3-4E7C5A6CCA43}">
  <dimension ref="A1:R123"/>
  <sheetViews>
    <sheetView workbookViewId="0"/>
  </sheetViews>
  <sheetFormatPr defaultRowHeight="14.4" x14ac:dyDescent="0.3"/>
  <cols>
    <col min="1" max="1" width="20.109375" customWidth="1"/>
    <col min="2" max="2" width="10.6640625" customWidth="1"/>
    <col min="3" max="3" width="11.33203125" bestFit="1" customWidth="1"/>
    <col min="4" max="4" width="11.109375" customWidth="1"/>
    <col min="5" max="5" width="11.33203125" bestFit="1" customWidth="1"/>
    <col min="6" max="6" width="10.6640625" customWidth="1"/>
    <col min="7" max="7" width="11.33203125" customWidth="1"/>
    <col min="8" max="8" width="10.6640625" bestFit="1" customWidth="1"/>
    <col min="9" max="9" width="11.33203125" customWidth="1"/>
    <col min="10" max="10" width="2.33203125" customWidth="1"/>
    <col min="11" max="11" width="11.33203125" bestFit="1" customWidth="1"/>
    <col min="12" max="12" width="10.44140625" customWidth="1"/>
    <col min="13" max="13" width="11.33203125" bestFit="1" customWidth="1"/>
    <col min="14" max="14" width="10.88671875" customWidth="1"/>
    <col min="15" max="15" width="11.33203125" bestFit="1" customWidth="1"/>
    <col min="16" max="16" width="10.88671875" customWidth="1"/>
    <col min="17" max="17" width="11.33203125" bestFit="1" customWidth="1"/>
  </cols>
  <sheetData>
    <row r="1" spans="1:18" ht="65.25" customHeight="1" x14ac:dyDescent="0.4">
      <c r="C1" s="88" t="s">
        <v>79</v>
      </c>
      <c r="D1" s="88"/>
      <c r="E1" s="88"/>
      <c r="F1" s="88"/>
      <c r="G1" s="88"/>
      <c r="H1" s="88"/>
      <c r="I1" s="88"/>
      <c r="J1" s="88"/>
      <c r="K1" s="88"/>
      <c r="L1" s="88"/>
      <c r="M1" s="88"/>
      <c r="N1" s="88"/>
      <c r="O1" s="88"/>
      <c r="P1" s="88"/>
      <c r="Q1" s="88"/>
      <c r="R1" s="88"/>
    </row>
    <row r="2" spans="1:18" s="9" customFormat="1" ht="26.25" customHeight="1" x14ac:dyDescent="0.3">
      <c r="A2" s="90" t="s">
        <v>72</v>
      </c>
      <c r="B2" s="90"/>
      <c r="C2" s="90"/>
      <c r="D2" s="90"/>
      <c r="E2" s="90"/>
      <c r="F2" s="90"/>
      <c r="G2" s="90"/>
      <c r="H2" s="90"/>
      <c r="I2" s="90"/>
      <c r="J2" s="90"/>
      <c r="K2" s="90"/>
      <c r="L2" s="90"/>
      <c r="M2" s="90"/>
      <c r="N2" s="90"/>
      <c r="O2" s="90"/>
      <c r="P2" s="90"/>
      <c r="Q2" s="90"/>
      <c r="R2" s="90"/>
    </row>
    <row r="3" spans="1:18" s="9" customFormat="1" ht="15.6" x14ac:dyDescent="0.3">
      <c r="A3" s="10"/>
      <c r="B3" s="18" t="s">
        <v>60</v>
      </c>
      <c r="C3" s="93" t="s">
        <v>61</v>
      </c>
      <c r="D3" s="93"/>
      <c r="E3" s="93"/>
      <c r="F3" s="93"/>
      <c r="G3" s="93"/>
      <c r="H3" s="93"/>
      <c r="I3" s="51"/>
      <c r="J3" s="10"/>
      <c r="K3" s="93"/>
      <c r="L3" s="93"/>
      <c r="M3" s="93"/>
      <c r="N3" s="93"/>
      <c r="O3" s="93"/>
      <c r="P3" s="93"/>
      <c r="Q3" s="93"/>
      <c r="R3" s="93"/>
    </row>
    <row r="4" spans="1:18" x14ac:dyDescent="0.3">
      <c r="A4" s="48" t="s">
        <v>0</v>
      </c>
      <c r="B4" s="4">
        <v>2020</v>
      </c>
      <c r="C4" s="4">
        <v>2025</v>
      </c>
      <c r="D4" s="4">
        <v>2030</v>
      </c>
      <c r="E4" s="4">
        <v>2035</v>
      </c>
      <c r="F4" s="4">
        <v>2040</v>
      </c>
      <c r="G4" s="4">
        <v>2045</v>
      </c>
      <c r="H4" s="4">
        <v>2050</v>
      </c>
      <c r="K4" s="4"/>
      <c r="L4" s="4"/>
      <c r="M4" s="4"/>
      <c r="N4" s="4"/>
      <c r="O4" s="4"/>
      <c r="P4" s="4"/>
      <c r="Q4" s="4"/>
      <c r="R4" s="4"/>
    </row>
    <row r="5" spans="1:18" s="13" customFormat="1" x14ac:dyDescent="0.3">
      <c r="A5" s="36" t="s">
        <v>18</v>
      </c>
      <c r="B5" s="37">
        <v>106696</v>
      </c>
      <c r="C5" s="37">
        <v>121218</v>
      </c>
      <c r="D5" s="37">
        <v>132462</v>
      </c>
      <c r="E5" s="37">
        <v>148477</v>
      </c>
      <c r="F5" s="37">
        <v>161827</v>
      </c>
      <c r="G5" s="37">
        <v>174856</v>
      </c>
      <c r="H5" s="37">
        <v>188531</v>
      </c>
      <c r="I5" s="37"/>
      <c r="J5" s="15"/>
      <c r="K5" s="24"/>
      <c r="L5" s="25"/>
      <c r="M5" s="25"/>
      <c r="N5" s="25"/>
      <c r="O5" s="25"/>
      <c r="P5" s="25"/>
      <c r="Q5" s="25"/>
      <c r="R5" s="25"/>
    </row>
    <row r="6" spans="1:18" s="13" customFormat="1" x14ac:dyDescent="0.3">
      <c r="A6" s="36" t="s">
        <v>19</v>
      </c>
      <c r="B6" s="37">
        <v>51509</v>
      </c>
      <c r="C6" s="37">
        <v>53452</v>
      </c>
      <c r="D6" s="37">
        <v>55158</v>
      </c>
      <c r="E6" s="37">
        <v>58409</v>
      </c>
      <c r="F6" s="37">
        <v>61560</v>
      </c>
      <c r="G6" s="37">
        <v>64759</v>
      </c>
      <c r="H6" s="37">
        <v>67829</v>
      </c>
      <c r="I6" s="37"/>
      <c r="J6" s="15"/>
      <c r="K6" s="24"/>
      <c r="L6" s="25"/>
      <c r="M6" s="25"/>
      <c r="N6" s="25"/>
      <c r="O6" s="25"/>
      <c r="P6" s="25"/>
      <c r="Q6" s="25"/>
      <c r="R6" s="25"/>
    </row>
    <row r="7" spans="1:18" x14ac:dyDescent="0.3">
      <c r="A7" s="36" t="s">
        <v>44</v>
      </c>
      <c r="B7" s="37">
        <v>12848</v>
      </c>
      <c r="C7" s="37">
        <v>13011</v>
      </c>
      <c r="D7" s="37">
        <v>13225</v>
      </c>
      <c r="E7" s="37">
        <v>13448</v>
      </c>
      <c r="F7" s="37">
        <v>13657</v>
      </c>
      <c r="G7" s="37">
        <v>13916</v>
      </c>
      <c r="H7" s="37">
        <v>14219</v>
      </c>
      <c r="I7" s="37"/>
      <c r="J7" s="14"/>
      <c r="K7" s="26"/>
      <c r="L7" s="27"/>
      <c r="M7" s="27"/>
      <c r="N7" s="27"/>
      <c r="O7" s="27"/>
      <c r="P7" s="27"/>
      <c r="Q7" s="27"/>
      <c r="R7" s="27"/>
    </row>
    <row r="8" spans="1:18" s="13" customFormat="1" x14ac:dyDescent="0.3">
      <c r="A8" s="36" t="s">
        <v>20</v>
      </c>
      <c r="B8" s="37">
        <v>824085</v>
      </c>
      <c r="C8" s="37">
        <v>849281</v>
      </c>
      <c r="D8" s="37">
        <v>873481</v>
      </c>
      <c r="E8" s="37">
        <v>918793</v>
      </c>
      <c r="F8" s="37">
        <v>956545</v>
      </c>
      <c r="G8" s="37">
        <v>988822</v>
      </c>
      <c r="H8" s="37">
        <v>1016705</v>
      </c>
      <c r="I8" s="37"/>
      <c r="J8" s="15"/>
      <c r="K8" s="24"/>
      <c r="L8" s="25"/>
      <c r="M8" s="27"/>
      <c r="N8" s="25"/>
      <c r="O8" s="25"/>
      <c r="P8" s="25"/>
      <c r="Q8" s="25"/>
      <c r="R8" s="25"/>
    </row>
    <row r="9" spans="1:18" x14ac:dyDescent="0.3">
      <c r="A9" s="36" t="s">
        <v>45</v>
      </c>
      <c r="B9" s="37">
        <v>7768</v>
      </c>
      <c r="C9" s="37">
        <v>7544</v>
      </c>
      <c r="D9" s="37">
        <v>7360</v>
      </c>
      <c r="E9" s="37">
        <v>7233</v>
      </c>
      <c r="F9" s="37">
        <v>7182</v>
      </c>
      <c r="G9" s="37">
        <v>7171</v>
      </c>
      <c r="H9" s="37">
        <v>7139</v>
      </c>
      <c r="I9" s="37"/>
      <c r="J9" s="14"/>
      <c r="K9" s="26"/>
      <c r="L9" s="27"/>
      <c r="N9" s="27"/>
      <c r="O9" s="27"/>
      <c r="P9" s="27"/>
      <c r="Q9" s="27"/>
      <c r="R9" s="27"/>
    </row>
    <row r="10" spans="1:18" x14ac:dyDescent="0.3">
      <c r="A10" s="36" t="s">
        <v>46</v>
      </c>
      <c r="B10" s="37">
        <v>23528</v>
      </c>
      <c r="C10" s="37">
        <v>23348</v>
      </c>
      <c r="D10" s="37">
        <v>23291</v>
      </c>
      <c r="E10" s="37">
        <v>23697</v>
      </c>
      <c r="F10" s="37">
        <v>24218</v>
      </c>
      <c r="G10" s="37">
        <v>24824</v>
      </c>
      <c r="H10" s="37">
        <v>25366</v>
      </c>
      <c r="I10" s="37"/>
      <c r="J10" s="14"/>
      <c r="K10" s="26"/>
      <c r="L10" s="27"/>
      <c r="M10" s="27"/>
      <c r="N10" s="27"/>
      <c r="O10" s="27"/>
      <c r="P10" s="27"/>
      <c r="Q10" s="27"/>
      <c r="R10" s="27"/>
    </row>
    <row r="11" spans="1:18" s="13" customFormat="1" x14ac:dyDescent="0.3">
      <c r="A11" s="36" t="s">
        <v>21</v>
      </c>
      <c r="B11" s="37">
        <v>70505</v>
      </c>
      <c r="C11" s="37">
        <v>82013</v>
      </c>
      <c r="D11" s="37">
        <v>87277</v>
      </c>
      <c r="E11" s="37">
        <v>95383</v>
      </c>
      <c r="F11" s="37">
        <v>99471</v>
      </c>
      <c r="G11" s="37">
        <v>102599</v>
      </c>
      <c r="H11" s="37">
        <v>105352</v>
      </c>
      <c r="I11" s="37"/>
      <c r="J11" s="15"/>
      <c r="K11" s="24"/>
      <c r="L11" s="25"/>
      <c r="M11" s="25"/>
      <c r="N11" s="25"/>
      <c r="O11" s="25"/>
      <c r="P11" s="25"/>
      <c r="Q11" s="25"/>
      <c r="R11" s="25"/>
    </row>
    <row r="12" spans="1:18" x14ac:dyDescent="0.3">
      <c r="A12" s="36" t="s">
        <v>47</v>
      </c>
      <c r="B12" s="37">
        <v>21357</v>
      </c>
      <c r="C12" s="37">
        <v>20975</v>
      </c>
      <c r="D12" s="37">
        <v>20833</v>
      </c>
      <c r="E12" s="37">
        <v>20845</v>
      </c>
      <c r="F12" s="37">
        <v>21051</v>
      </c>
      <c r="G12" s="37">
        <v>21407</v>
      </c>
      <c r="H12" s="37">
        <v>21736</v>
      </c>
      <c r="I12" s="37"/>
      <c r="J12" s="14"/>
      <c r="K12" s="26"/>
      <c r="L12" s="27"/>
      <c r="M12" s="27"/>
      <c r="N12" s="27"/>
      <c r="O12" s="27"/>
      <c r="P12" s="27"/>
      <c r="Q12" s="27"/>
      <c r="R12" s="27"/>
    </row>
    <row r="13" spans="1:18" s="13" customFormat="1" x14ac:dyDescent="0.3">
      <c r="A13" s="36" t="s">
        <v>22</v>
      </c>
      <c r="B13" s="37">
        <v>19474</v>
      </c>
      <c r="C13" s="37">
        <v>20333</v>
      </c>
      <c r="D13" s="37">
        <v>20996</v>
      </c>
      <c r="E13" s="37">
        <v>21976</v>
      </c>
      <c r="F13" s="37">
        <v>22952</v>
      </c>
      <c r="G13" s="37">
        <v>23895</v>
      </c>
      <c r="H13" s="37">
        <v>24862</v>
      </c>
      <c r="I13" s="37"/>
      <c r="J13" s="15"/>
      <c r="K13" s="24"/>
      <c r="L13" s="25"/>
      <c r="M13" s="25"/>
      <c r="N13" s="25"/>
      <c r="O13" s="25"/>
      <c r="P13" s="25"/>
      <c r="Q13" s="25"/>
      <c r="R13" s="25"/>
    </row>
    <row r="14" spans="1:18" x14ac:dyDescent="0.3">
      <c r="A14" s="36" t="s">
        <v>48</v>
      </c>
      <c r="B14" s="37">
        <v>26815</v>
      </c>
      <c r="C14" s="37">
        <v>26071</v>
      </c>
      <c r="D14" s="37">
        <v>25845</v>
      </c>
      <c r="E14" s="37">
        <v>26169</v>
      </c>
      <c r="F14" s="37">
        <v>26446</v>
      </c>
      <c r="G14" s="37">
        <v>26446</v>
      </c>
      <c r="H14" s="37">
        <v>26287</v>
      </c>
      <c r="I14" s="37"/>
      <c r="J14" s="14"/>
      <c r="K14" s="26"/>
      <c r="L14" s="27"/>
      <c r="M14" s="27"/>
      <c r="N14" s="27"/>
      <c r="O14" s="27"/>
      <c r="P14" s="27"/>
      <c r="Q14" s="27"/>
      <c r="R14" s="27"/>
    </row>
    <row r="15" spans="1:18" x14ac:dyDescent="0.3">
      <c r="A15" s="36" t="s">
        <v>49</v>
      </c>
      <c r="B15" s="37">
        <v>7488</v>
      </c>
      <c r="C15" s="37">
        <v>7545</v>
      </c>
      <c r="D15" s="37">
        <v>7576</v>
      </c>
      <c r="E15" s="37">
        <v>7760</v>
      </c>
      <c r="F15" s="37">
        <v>7965</v>
      </c>
      <c r="G15" s="37">
        <v>8195</v>
      </c>
      <c r="H15" s="37">
        <v>8459</v>
      </c>
      <c r="I15" s="37"/>
      <c r="J15" s="14"/>
      <c r="K15" s="26"/>
      <c r="L15" s="27"/>
      <c r="M15" s="27"/>
      <c r="N15" s="27"/>
      <c r="O15" s="27"/>
      <c r="P15" s="27"/>
      <c r="Q15" s="27"/>
      <c r="R15" s="27"/>
    </row>
    <row r="16" spans="1:18" x14ac:dyDescent="0.3">
      <c r="A16" s="36" t="s">
        <v>50</v>
      </c>
      <c r="B16" s="37">
        <v>7150</v>
      </c>
      <c r="C16" s="37">
        <v>7200</v>
      </c>
      <c r="D16" s="37">
        <v>7162</v>
      </c>
      <c r="E16" s="37">
        <v>7214</v>
      </c>
      <c r="F16" s="37">
        <v>7306</v>
      </c>
      <c r="G16" s="37">
        <v>7423</v>
      </c>
      <c r="H16" s="37">
        <v>7550</v>
      </c>
      <c r="I16" s="37"/>
      <c r="J16" s="14"/>
      <c r="K16" s="26"/>
      <c r="L16" s="27"/>
      <c r="M16" s="27"/>
      <c r="N16" s="27"/>
      <c r="O16" s="27"/>
      <c r="P16" s="27"/>
      <c r="Q16" s="27"/>
      <c r="R16" s="27"/>
    </row>
    <row r="17" spans="1:18" s="13" customFormat="1" x14ac:dyDescent="0.3">
      <c r="A17" s="36" t="s">
        <v>23</v>
      </c>
      <c r="B17" s="37">
        <v>15997</v>
      </c>
      <c r="C17" s="37">
        <v>16826</v>
      </c>
      <c r="D17" s="37">
        <v>17584</v>
      </c>
      <c r="E17" s="37">
        <v>18660</v>
      </c>
      <c r="F17" s="37">
        <v>19677</v>
      </c>
      <c r="G17" s="37">
        <v>20616</v>
      </c>
      <c r="H17" s="37">
        <v>21474</v>
      </c>
      <c r="I17" s="37"/>
      <c r="J17" s="15"/>
      <c r="K17" s="24"/>
      <c r="L17" s="25"/>
      <c r="M17" s="25"/>
      <c r="N17" s="25"/>
      <c r="O17" s="25"/>
      <c r="P17" s="25"/>
      <c r="Q17" s="25"/>
      <c r="R17" s="25"/>
    </row>
    <row r="18" spans="1:18" x14ac:dyDescent="0.3">
      <c r="A18" s="36" t="s">
        <v>51</v>
      </c>
      <c r="B18" s="37">
        <v>31197</v>
      </c>
      <c r="C18" s="37">
        <v>30435</v>
      </c>
      <c r="D18" s="37">
        <v>29955</v>
      </c>
      <c r="E18" s="37">
        <v>29688</v>
      </c>
      <c r="F18" s="37">
        <v>29667</v>
      </c>
      <c r="G18" s="37">
        <v>29650</v>
      </c>
      <c r="H18" s="37">
        <v>29622</v>
      </c>
      <c r="I18" s="37"/>
      <c r="J18" s="14"/>
      <c r="K18" s="26"/>
      <c r="L18" s="27"/>
      <c r="M18" s="27"/>
      <c r="N18" s="27"/>
      <c r="O18" s="27"/>
      <c r="P18" s="27"/>
      <c r="Q18" s="27"/>
      <c r="R18" s="27"/>
    </row>
    <row r="19" spans="1:18" s="13" customFormat="1" x14ac:dyDescent="0.3">
      <c r="A19" s="36" t="s">
        <v>24</v>
      </c>
      <c r="B19" s="37">
        <v>38441</v>
      </c>
      <c r="C19" s="37">
        <v>39366</v>
      </c>
      <c r="D19" s="37">
        <v>41725</v>
      </c>
      <c r="E19" s="37">
        <v>45151</v>
      </c>
      <c r="F19" s="37">
        <v>48894</v>
      </c>
      <c r="G19" s="37">
        <v>52993</v>
      </c>
      <c r="H19" s="37">
        <v>57010</v>
      </c>
      <c r="I19" s="37"/>
      <c r="J19" s="15"/>
      <c r="K19" s="24"/>
      <c r="L19" s="25"/>
      <c r="M19" s="25"/>
      <c r="N19" s="25"/>
      <c r="O19" s="25"/>
      <c r="P19" s="25"/>
      <c r="Q19" s="25"/>
      <c r="R19" s="25"/>
    </row>
    <row r="20" spans="1:18" s="19" customFormat="1" x14ac:dyDescent="0.3">
      <c r="A20" s="40" t="s">
        <v>86</v>
      </c>
      <c r="B20" s="41">
        <f t="shared" ref="B20:H20" si="0">SUM(B5:B19)</f>
        <v>1264858</v>
      </c>
      <c r="C20" s="41">
        <f t="shared" si="0"/>
        <v>1318618</v>
      </c>
      <c r="D20" s="41">
        <f t="shared" si="0"/>
        <v>1363930</v>
      </c>
      <c r="E20" s="41">
        <f t="shared" si="0"/>
        <v>1442903</v>
      </c>
      <c r="F20" s="41">
        <f t="shared" si="0"/>
        <v>1508418</v>
      </c>
      <c r="G20" s="41">
        <f t="shared" si="0"/>
        <v>1567572</v>
      </c>
      <c r="H20" s="41">
        <f t="shared" si="0"/>
        <v>1622141</v>
      </c>
      <c r="I20" s="41"/>
      <c r="J20" s="12"/>
      <c r="K20" s="16"/>
      <c r="L20" s="17"/>
      <c r="M20" s="17"/>
      <c r="N20" s="17"/>
      <c r="O20" s="17"/>
      <c r="P20" s="17"/>
      <c r="Q20" s="17"/>
      <c r="R20" s="17"/>
    </row>
    <row r="22" spans="1:18" s="9" customFormat="1" ht="26.25" customHeight="1" x14ac:dyDescent="0.3">
      <c r="A22" s="90" t="s">
        <v>135</v>
      </c>
      <c r="B22" s="90"/>
      <c r="C22" s="90"/>
      <c r="D22" s="90"/>
      <c r="E22" s="90"/>
      <c r="F22" s="90"/>
      <c r="G22" s="90"/>
      <c r="H22" s="90"/>
      <c r="I22" s="90"/>
      <c r="J22" s="90"/>
      <c r="K22" s="90"/>
      <c r="L22" s="90"/>
      <c r="M22" s="90"/>
      <c r="N22" s="90"/>
      <c r="O22" s="90"/>
      <c r="P22" s="90"/>
      <c r="Q22" s="90"/>
    </row>
    <row r="23" spans="1:18" s="9" customFormat="1" ht="15.6" x14ac:dyDescent="0.3">
      <c r="A23" s="10"/>
      <c r="B23" s="18" t="s">
        <v>60</v>
      </c>
      <c r="C23" s="93" t="s">
        <v>61</v>
      </c>
      <c r="D23" s="93"/>
      <c r="E23" s="93"/>
      <c r="F23" s="93"/>
      <c r="G23" s="93"/>
      <c r="H23" s="93"/>
      <c r="I23" s="93"/>
      <c r="J23" s="10"/>
      <c r="K23" s="93" t="s">
        <v>80</v>
      </c>
      <c r="L23" s="93"/>
      <c r="M23" s="93"/>
      <c r="N23" s="93"/>
      <c r="O23" s="93"/>
      <c r="P23" s="93"/>
      <c r="Q23" s="93"/>
      <c r="R23" s="93"/>
    </row>
    <row r="24" spans="1:18" x14ac:dyDescent="0.3">
      <c r="A24" s="48" t="s">
        <v>0</v>
      </c>
      <c r="B24" s="4">
        <v>2020</v>
      </c>
      <c r="C24" s="4">
        <v>2025</v>
      </c>
      <c r="D24" s="4">
        <v>2030</v>
      </c>
      <c r="E24" s="4">
        <v>2035</v>
      </c>
      <c r="F24" s="4">
        <v>2040</v>
      </c>
      <c r="G24" s="4">
        <v>2045</v>
      </c>
      <c r="H24" s="4">
        <v>2050</v>
      </c>
      <c r="K24" s="4">
        <v>2020</v>
      </c>
      <c r="L24" s="4">
        <v>2025</v>
      </c>
      <c r="M24" s="4">
        <v>2030</v>
      </c>
      <c r="N24" s="4">
        <v>2035</v>
      </c>
      <c r="O24" s="4">
        <v>2040</v>
      </c>
      <c r="P24" s="4">
        <v>2045</v>
      </c>
      <c r="Q24" s="4">
        <v>2050</v>
      </c>
    </row>
    <row r="25" spans="1:18" s="13" customFormat="1" x14ac:dyDescent="0.3">
      <c r="A25" s="36" t="s">
        <v>18</v>
      </c>
      <c r="B25" s="37">
        <v>45294</v>
      </c>
      <c r="C25" s="37">
        <v>51459</v>
      </c>
      <c r="D25" s="37">
        <v>57034</v>
      </c>
      <c r="E25" s="37">
        <v>63032</v>
      </c>
      <c r="F25" s="37">
        <v>68700</v>
      </c>
      <c r="G25" s="37">
        <v>74231</v>
      </c>
      <c r="H25" s="37">
        <v>80036</v>
      </c>
      <c r="I25" s="37"/>
      <c r="J25" s="37"/>
      <c r="K25" s="38">
        <f>B25/(B25+B45+B65+B85+B105)</f>
        <v>0.4245145085101597</v>
      </c>
      <c r="L25" s="38">
        <f t="shared" ref="L25:Q39" si="1">C25/(C25+C45+C65+C85+C105)</f>
        <v>0.42451616096619316</v>
      </c>
      <c r="M25" s="38">
        <f t="shared" si="1"/>
        <v>0.43056876689163687</v>
      </c>
      <c r="N25" s="38">
        <f t="shared" si="1"/>
        <v>0.42452366359772892</v>
      </c>
      <c r="O25" s="38">
        <f t="shared" si="1"/>
        <v>0.42452742743794297</v>
      </c>
      <c r="P25" s="38">
        <f t="shared" si="1"/>
        <v>0.42452646749325157</v>
      </c>
      <c r="Q25" s="38">
        <f t="shared" si="1"/>
        <v>0.42452434878083711</v>
      </c>
      <c r="R25" s="38"/>
    </row>
    <row r="26" spans="1:18" s="13" customFormat="1" x14ac:dyDescent="0.3">
      <c r="A26" s="36" t="s">
        <v>19</v>
      </c>
      <c r="B26" s="37">
        <v>14629</v>
      </c>
      <c r="C26" s="37">
        <v>15180</v>
      </c>
      <c r="D26" s="37">
        <v>15755</v>
      </c>
      <c r="E26" s="37">
        <v>16588</v>
      </c>
      <c r="F26" s="37">
        <v>17484</v>
      </c>
      <c r="G26" s="37">
        <v>18392</v>
      </c>
      <c r="H26" s="37">
        <v>19264</v>
      </c>
      <c r="I26" s="37"/>
      <c r="J26" s="37"/>
      <c r="K26" s="38">
        <f t="shared" ref="K26:Q40" si="2">B26/(B26+B46+B66+B86+B106)</f>
        <v>0.28400861985284126</v>
      </c>
      <c r="L26" s="38">
        <f t="shared" si="1"/>
        <v>0.28399311531841653</v>
      </c>
      <c r="M26" s="38">
        <f t="shared" si="1"/>
        <v>0.28563399688168534</v>
      </c>
      <c r="N26" s="38">
        <f t="shared" si="1"/>
        <v>0.28399732917872245</v>
      </c>
      <c r="O26" s="38">
        <f t="shared" si="1"/>
        <v>0.28401559454191033</v>
      </c>
      <c r="P26" s="38">
        <f t="shared" si="1"/>
        <v>0.2840068561898732</v>
      </c>
      <c r="Q26" s="38">
        <f t="shared" si="1"/>
        <v>0.28400831502749563</v>
      </c>
      <c r="R26" s="38"/>
    </row>
    <row r="27" spans="1:18" s="13" customFormat="1" x14ac:dyDescent="0.3">
      <c r="A27" s="36" t="s">
        <v>44</v>
      </c>
      <c r="B27" s="37">
        <v>2972</v>
      </c>
      <c r="C27" s="37">
        <v>3009</v>
      </c>
      <c r="D27" s="37">
        <v>3064</v>
      </c>
      <c r="E27" s="37">
        <v>3111</v>
      </c>
      <c r="F27" s="37">
        <v>3159</v>
      </c>
      <c r="G27" s="37">
        <v>3219</v>
      </c>
      <c r="H27" s="37">
        <v>3289</v>
      </c>
      <c r="I27" s="37"/>
      <c r="J27" s="37"/>
      <c r="K27" s="38">
        <f t="shared" si="2"/>
        <v>0.23132004981320051</v>
      </c>
      <c r="L27" s="38">
        <f t="shared" si="1"/>
        <v>0.23126585197140881</v>
      </c>
      <c r="M27" s="38">
        <f t="shared" si="1"/>
        <v>0.23168241965973535</v>
      </c>
      <c r="N27" s="38">
        <f t="shared" si="1"/>
        <v>0.23133551457465795</v>
      </c>
      <c r="O27" s="38">
        <f t="shared" si="1"/>
        <v>0.23130995094090942</v>
      </c>
      <c r="P27" s="38">
        <f t="shared" si="1"/>
        <v>0.23131647025007185</v>
      </c>
      <c r="Q27" s="38">
        <f t="shared" si="1"/>
        <v>0.23131021872142907</v>
      </c>
      <c r="R27" s="38"/>
    </row>
    <row r="28" spans="1:18" s="13" customFormat="1" x14ac:dyDescent="0.3">
      <c r="A28" s="36" t="s">
        <v>20</v>
      </c>
      <c r="B28" s="37">
        <v>374910</v>
      </c>
      <c r="C28" s="37">
        <v>386374</v>
      </c>
      <c r="D28" s="37">
        <v>398536</v>
      </c>
      <c r="E28" s="37">
        <v>417998</v>
      </c>
      <c r="F28" s="37">
        <v>435172</v>
      </c>
      <c r="G28" s="37">
        <v>449857</v>
      </c>
      <c r="H28" s="37">
        <v>462543</v>
      </c>
      <c r="I28" s="37"/>
      <c r="J28" s="37"/>
      <c r="K28" s="38">
        <f t="shared" si="2"/>
        <v>0.45494093449098089</v>
      </c>
      <c r="L28" s="38">
        <f t="shared" si="1"/>
        <v>0.4549424748699194</v>
      </c>
      <c r="M28" s="38">
        <f t="shared" si="1"/>
        <v>0.4562617847440299</v>
      </c>
      <c r="N28" s="38">
        <f t="shared" si="1"/>
        <v>0.45494251697607624</v>
      </c>
      <c r="O28" s="38">
        <f t="shared" si="1"/>
        <v>0.45494148210486701</v>
      </c>
      <c r="P28" s="38">
        <f t="shared" si="1"/>
        <v>0.45494234553842855</v>
      </c>
      <c r="Q28" s="38">
        <f t="shared" si="1"/>
        <v>0.45494317427375691</v>
      </c>
      <c r="R28" s="38"/>
    </row>
    <row r="29" spans="1:18" s="13" customFormat="1" x14ac:dyDescent="0.3">
      <c r="A29" s="36" t="s">
        <v>45</v>
      </c>
      <c r="B29" s="37">
        <v>2109</v>
      </c>
      <c r="C29" s="37">
        <v>2049</v>
      </c>
      <c r="D29" s="37">
        <v>1991</v>
      </c>
      <c r="E29" s="37">
        <v>1964</v>
      </c>
      <c r="F29" s="37">
        <v>1951</v>
      </c>
      <c r="G29" s="37">
        <v>1948</v>
      </c>
      <c r="H29" s="37">
        <v>1938</v>
      </c>
      <c r="I29" s="37"/>
      <c r="J29" s="37"/>
      <c r="K29" s="38">
        <f t="shared" si="2"/>
        <v>0.27149845520082388</v>
      </c>
      <c r="L29" s="38">
        <f t="shared" si="1"/>
        <v>0.27160657476139977</v>
      </c>
      <c r="M29" s="38">
        <f t="shared" si="1"/>
        <v>0.27051630434782609</v>
      </c>
      <c r="N29" s="38">
        <f t="shared" si="1"/>
        <v>0.27153325038020187</v>
      </c>
      <c r="O29" s="38">
        <f t="shared" si="1"/>
        <v>0.27165135059871903</v>
      </c>
      <c r="P29" s="38">
        <f t="shared" si="1"/>
        <v>0.27164970018128576</v>
      </c>
      <c r="Q29" s="38">
        <f t="shared" si="1"/>
        <v>0.27146659195965822</v>
      </c>
      <c r="R29" s="38"/>
    </row>
    <row r="30" spans="1:18" s="13" customFormat="1" x14ac:dyDescent="0.3">
      <c r="A30" s="36" t="s">
        <v>46</v>
      </c>
      <c r="B30" s="37">
        <v>5707</v>
      </c>
      <c r="C30" s="37">
        <v>5665</v>
      </c>
      <c r="D30" s="37">
        <v>5649</v>
      </c>
      <c r="E30" s="37">
        <v>5749</v>
      </c>
      <c r="F30" s="37">
        <v>5876</v>
      </c>
      <c r="G30" s="37">
        <v>6023</v>
      </c>
      <c r="H30" s="37">
        <v>6154</v>
      </c>
      <c r="I30" s="37"/>
      <c r="J30" s="37"/>
      <c r="K30" s="38">
        <f t="shared" si="2"/>
        <v>0.2425620537232234</v>
      </c>
      <c r="L30" s="38">
        <f t="shared" si="1"/>
        <v>0.24263320198732224</v>
      </c>
      <c r="M30" s="38">
        <f t="shared" si="1"/>
        <v>0.24254003692413378</v>
      </c>
      <c r="N30" s="38">
        <f t="shared" si="1"/>
        <v>0.24260454909904208</v>
      </c>
      <c r="O30" s="38">
        <f t="shared" si="1"/>
        <v>0.24262944917003881</v>
      </c>
      <c r="P30" s="38">
        <f t="shared" si="1"/>
        <v>0.24262810183693201</v>
      </c>
      <c r="Q30" s="38">
        <f t="shared" si="1"/>
        <v>0.24260821572183239</v>
      </c>
      <c r="R30" s="38"/>
    </row>
    <row r="31" spans="1:18" x14ac:dyDescent="0.3">
      <c r="A31" s="36" t="s">
        <v>21</v>
      </c>
      <c r="B31" s="37">
        <v>23241</v>
      </c>
      <c r="C31" s="37">
        <v>26769</v>
      </c>
      <c r="D31" s="37">
        <v>28496</v>
      </c>
      <c r="E31" s="37">
        <v>31029</v>
      </c>
      <c r="F31" s="37">
        <v>32376</v>
      </c>
      <c r="G31" s="37">
        <v>33407</v>
      </c>
      <c r="H31" s="37">
        <v>34314</v>
      </c>
      <c r="K31" s="38">
        <f t="shared" si="2"/>
        <v>0.32963619601446709</v>
      </c>
      <c r="L31" s="38">
        <f t="shared" si="1"/>
        <v>0.32639947325424018</v>
      </c>
      <c r="M31" s="38">
        <f t="shared" si="1"/>
        <v>0.32650068173745661</v>
      </c>
      <c r="N31" s="38">
        <f t="shared" si="1"/>
        <v>0.3253095415325582</v>
      </c>
      <c r="O31" s="38">
        <f t="shared" si="1"/>
        <v>0.32548179871520344</v>
      </c>
      <c r="P31" s="38">
        <f t="shared" si="1"/>
        <v>0.32560746206103375</v>
      </c>
      <c r="Q31" s="38">
        <f t="shared" si="1"/>
        <v>0.3257081023616068</v>
      </c>
    </row>
    <row r="32" spans="1:18" x14ac:dyDescent="0.3">
      <c r="A32" s="36" t="s">
        <v>47</v>
      </c>
      <c r="B32" s="37">
        <v>5201</v>
      </c>
      <c r="C32" s="37">
        <v>5109</v>
      </c>
      <c r="D32" s="37">
        <v>5071</v>
      </c>
      <c r="E32" s="37">
        <v>5077</v>
      </c>
      <c r="F32" s="37">
        <v>5128</v>
      </c>
      <c r="G32" s="37">
        <v>5214</v>
      </c>
      <c r="H32" s="37">
        <v>5294</v>
      </c>
      <c r="K32" s="38">
        <f t="shared" si="2"/>
        <v>0.24352671255326122</v>
      </c>
      <c r="L32" s="38">
        <f t="shared" si="1"/>
        <v>0.2435756853396901</v>
      </c>
      <c r="M32" s="38">
        <f t="shared" si="1"/>
        <v>0.24341189459031345</v>
      </c>
      <c r="N32" s="38">
        <f t="shared" si="1"/>
        <v>0.24355960662029263</v>
      </c>
      <c r="O32" s="38">
        <f t="shared" si="1"/>
        <v>0.24359887891311577</v>
      </c>
      <c r="P32" s="38">
        <f t="shared" si="1"/>
        <v>0.24356518895688326</v>
      </c>
      <c r="Q32" s="38">
        <f t="shared" si="1"/>
        <v>0.24355907250644093</v>
      </c>
    </row>
    <row r="33" spans="1:18" s="13" customFormat="1" x14ac:dyDescent="0.3">
      <c r="A33" s="36" t="s">
        <v>22</v>
      </c>
      <c r="B33" s="37">
        <v>5037</v>
      </c>
      <c r="C33" s="37">
        <v>5260</v>
      </c>
      <c r="D33" s="37">
        <v>5444</v>
      </c>
      <c r="E33" s="37">
        <v>5684</v>
      </c>
      <c r="F33" s="37">
        <v>5938</v>
      </c>
      <c r="G33" s="37">
        <v>6180</v>
      </c>
      <c r="H33" s="37">
        <v>6431</v>
      </c>
      <c r="I33" s="37"/>
      <c r="J33" s="37"/>
      <c r="K33" s="38">
        <f t="shared" si="2"/>
        <v>0.25865256239088014</v>
      </c>
      <c r="L33" s="38">
        <f t="shared" si="1"/>
        <v>0.25869276545517139</v>
      </c>
      <c r="M33" s="38">
        <f t="shared" si="1"/>
        <v>0.25928748333015811</v>
      </c>
      <c r="N33" s="38">
        <f t="shared" si="1"/>
        <v>0.258645795413178</v>
      </c>
      <c r="O33" s="38">
        <f t="shared" si="1"/>
        <v>0.25871383757406763</v>
      </c>
      <c r="P33" s="38">
        <f t="shared" si="1"/>
        <v>0.25863151286880098</v>
      </c>
      <c r="Q33" s="38">
        <f t="shared" si="1"/>
        <v>0.25866784651275038</v>
      </c>
      <c r="R33" s="38"/>
    </row>
    <row r="34" spans="1:18" s="13" customFormat="1" x14ac:dyDescent="0.3">
      <c r="A34" s="36" t="s">
        <v>48</v>
      </c>
      <c r="B34" s="37">
        <v>7759</v>
      </c>
      <c r="C34" s="37">
        <v>7543</v>
      </c>
      <c r="D34" s="37">
        <v>7473</v>
      </c>
      <c r="E34" s="37">
        <v>7572</v>
      </c>
      <c r="F34" s="37">
        <v>7652</v>
      </c>
      <c r="G34" s="37">
        <v>7651</v>
      </c>
      <c r="H34" s="37">
        <v>7605</v>
      </c>
      <c r="I34" s="37"/>
      <c r="J34" s="39"/>
      <c r="K34" s="38">
        <f t="shared" si="2"/>
        <v>0.28935297408167071</v>
      </c>
      <c r="L34" s="38">
        <f t="shared" si="1"/>
        <v>0.28932530397759965</v>
      </c>
      <c r="M34" s="38">
        <f t="shared" si="1"/>
        <v>0.28914683691236215</v>
      </c>
      <c r="N34" s="38">
        <f t="shared" si="1"/>
        <v>0.28934999426802704</v>
      </c>
      <c r="O34" s="38">
        <f t="shared" si="1"/>
        <v>0.28934432428344553</v>
      </c>
      <c r="P34" s="38">
        <f t="shared" si="1"/>
        <v>0.28930651138168345</v>
      </c>
      <c r="Q34" s="38">
        <f t="shared" si="1"/>
        <v>0.28930650131243579</v>
      </c>
      <c r="R34" s="38"/>
    </row>
    <row r="35" spans="1:18" s="13" customFormat="1" x14ac:dyDescent="0.3">
      <c r="A35" s="36" t="s">
        <v>49</v>
      </c>
      <c r="B35" s="37">
        <v>1943</v>
      </c>
      <c r="C35" s="37">
        <v>1958</v>
      </c>
      <c r="D35" s="37">
        <v>1967</v>
      </c>
      <c r="E35" s="37">
        <v>2014</v>
      </c>
      <c r="F35" s="37">
        <v>2067</v>
      </c>
      <c r="G35" s="37">
        <v>2127</v>
      </c>
      <c r="H35" s="37">
        <v>2196</v>
      </c>
      <c r="I35" s="37"/>
      <c r="J35" s="39"/>
      <c r="K35" s="38">
        <f t="shared" si="2"/>
        <v>0.25948183760683763</v>
      </c>
      <c r="L35" s="38">
        <f t="shared" si="1"/>
        <v>0.25950960901259112</v>
      </c>
      <c r="M35" s="38">
        <f t="shared" si="1"/>
        <v>0.25963569165786693</v>
      </c>
      <c r="N35" s="38">
        <f t="shared" si="1"/>
        <v>0.25953608247422683</v>
      </c>
      <c r="O35" s="38">
        <f t="shared" si="1"/>
        <v>0.25951035781544257</v>
      </c>
      <c r="P35" s="38">
        <f t="shared" si="1"/>
        <v>0.25954850518608907</v>
      </c>
      <c r="Q35" s="38">
        <f t="shared" si="1"/>
        <v>0.25960515427355479</v>
      </c>
      <c r="R35" s="38"/>
    </row>
    <row r="36" spans="1:18" s="13" customFormat="1" x14ac:dyDescent="0.3">
      <c r="A36" s="36" t="s">
        <v>50</v>
      </c>
      <c r="B36" s="37">
        <v>2328</v>
      </c>
      <c r="C36" s="37">
        <v>2346</v>
      </c>
      <c r="D36" s="37">
        <v>2332</v>
      </c>
      <c r="E36" s="37">
        <v>2350</v>
      </c>
      <c r="F36" s="37">
        <v>2380</v>
      </c>
      <c r="G36" s="37">
        <v>2418</v>
      </c>
      <c r="H36" s="37">
        <v>2460</v>
      </c>
      <c r="I36" s="37"/>
      <c r="J36" s="39"/>
      <c r="K36" s="38">
        <f t="shared" si="2"/>
        <v>0.32559440559440561</v>
      </c>
      <c r="L36" s="38">
        <f t="shared" si="1"/>
        <v>0.32583333333333331</v>
      </c>
      <c r="M36" s="38">
        <f t="shared" si="1"/>
        <v>0.32560737224239039</v>
      </c>
      <c r="N36" s="38">
        <f t="shared" si="1"/>
        <v>0.32575547546437483</v>
      </c>
      <c r="O36" s="38">
        <f t="shared" si="1"/>
        <v>0.32575964960306597</v>
      </c>
      <c r="P36" s="38">
        <f t="shared" si="1"/>
        <v>0.3257443082311734</v>
      </c>
      <c r="Q36" s="38">
        <f t="shared" si="1"/>
        <v>0.32582781456953641</v>
      </c>
      <c r="R36" s="38"/>
    </row>
    <row r="37" spans="1:18" s="13" customFormat="1" x14ac:dyDescent="0.3">
      <c r="A37" s="36" t="s">
        <v>23</v>
      </c>
      <c r="B37" s="37">
        <v>5248</v>
      </c>
      <c r="C37" s="37">
        <v>5521</v>
      </c>
      <c r="D37" s="37">
        <v>5792</v>
      </c>
      <c r="E37" s="37">
        <v>6122</v>
      </c>
      <c r="F37" s="37">
        <v>6456</v>
      </c>
      <c r="G37" s="37">
        <v>6764</v>
      </c>
      <c r="H37" s="37">
        <v>7046</v>
      </c>
      <c r="I37" s="37"/>
      <c r="J37" s="39"/>
      <c r="K37" s="38">
        <f t="shared" si="2"/>
        <v>0.32806151153341251</v>
      </c>
      <c r="L37" s="38">
        <f t="shared" si="1"/>
        <v>0.32812314275525972</v>
      </c>
      <c r="M37" s="38">
        <f t="shared" si="1"/>
        <v>0.3293903548680619</v>
      </c>
      <c r="N37" s="38">
        <f t="shared" si="1"/>
        <v>0.32808145766345126</v>
      </c>
      <c r="O37" s="38">
        <f t="shared" si="1"/>
        <v>0.32809879554810184</v>
      </c>
      <c r="P37" s="38">
        <f t="shared" si="1"/>
        <v>0.32809468374078388</v>
      </c>
      <c r="Q37" s="38">
        <f t="shared" si="1"/>
        <v>0.32811772375896431</v>
      </c>
      <c r="R37" s="38"/>
    </row>
    <row r="38" spans="1:18" s="13" customFormat="1" x14ac:dyDescent="0.3">
      <c r="A38" s="36" t="s">
        <v>51</v>
      </c>
      <c r="B38" s="37">
        <v>10037</v>
      </c>
      <c r="C38" s="37">
        <v>9794</v>
      </c>
      <c r="D38" s="37">
        <v>9623</v>
      </c>
      <c r="E38" s="37">
        <v>9552</v>
      </c>
      <c r="F38" s="37">
        <v>9545</v>
      </c>
      <c r="G38" s="37">
        <v>9540</v>
      </c>
      <c r="H38" s="37">
        <v>9531</v>
      </c>
      <c r="I38" s="37"/>
      <c r="J38" s="39"/>
      <c r="K38" s="38">
        <f t="shared" si="2"/>
        <v>0.32172965349232296</v>
      </c>
      <c r="L38" s="38">
        <f t="shared" si="1"/>
        <v>0.32180055856743878</v>
      </c>
      <c r="M38" s="38">
        <f t="shared" si="1"/>
        <v>0.3212485394758805</v>
      </c>
      <c r="N38" s="38">
        <f t="shared" si="1"/>
        <v>0.3217461600646726</v>
      </c>
      <c r="O38" s="38">
        <f t="shared" si="1"/>
        <v>0.32173795800047189</v>
      </c>
      <c r="P38" s="38">
        <f t="shared" si="1"/>
        <v>0.32175379426644179</v>
      </c>
      <c r="Q38" s="38">
        <f t="shared" si="1"/>
        <v>0.3217541016811829</v>
      </c>
      <c r="R38" s="38"/>
    </row>
    <row r="39" spans="1:18" s="13" customFormat="1" x14ac:dyDescent="0.3">
      <c r="A39" s="36" t="s">
        <v>24</v>
      </c>
      <c r="B39" s="37">
        <v>12670</v>
      </c>
      <c r="C39" s="37">
        <v>12976</v>
      </c>
      <c r="D39" s="37">
        <v>13823</v>
      </c>
      <c r="E39" s="37">
        <v>14883</v>
      </c>
      <c r="F39" s="37">
        <v>16116</v>
      </c>
      <c r="G39" s="37">
        <v>17468</v>
      </c>
      <c r="H39" s="37">
        <v>18792</v>
      </c>
      <c r="I39" s="37"/>
      <c r="J39" s="39"/>
      <c r="K39" s="38">
        <f t="shared" si="2"/>
        <v>0.32959600426627822</v>
      </c>
      <c r="L39" s="38">
        <f t="shared" si="1"/>
        <v>0.32962454910328709</v>
      </c>
      <c r="M39" s="38">
        <f t="shared" si="1"/>
        <v>0.33128819652486519</v>
      </c>
      <c r="N39" s="38">
        <f t="shared" si="1"/>
        <v>0.32962725078071359</v>
      </c>
      <c r="O39" s="38">
        <f t="shared" si="1"/>
        <v>0.32961099521413673</v>
      </c>
      <c r="P39" s="38">
        <f t="shared" si="1"/>
        <v>0.32962844149227255</v>
      </c>
      <c r="Q39" s="38">
        <f t="shared" si="1"/>
        <v>0.3296263813366076</v>
      </c>
      <c r="R39" s="38"/>
    </row>
    <row r="40" spans="1:18" s="20" customFormat="1" x14ac:dyDescent="0.3">
      <c r="A40" s="40" t="s">
        <v>86</v>
      </c>
      <c r="B40" s="41">
        <f>SUM(B25:B39)</f>
        <v>519085</v>
      </c>
      <c r="C40" s="41">
        <f t="shared" ref="C40:G40" si="3">SUM(C25:C39)</f>
        <v>541012</v>
      </c>
      <c r="D40" s="41">
        <f t="shared" si="3"/>
        <v>562050</v>
      </c>
      <c r="E40" s="41">
        <f t="shared" si="3"/>
        <v>592725</v>
      </c>
      <c r="F40" s="41">
        <f t="shared" si="3"/>
        <v>620000</v>
      </c>
      <c r="G40" s="41">
        <f t="shared" si="3"/>
        <v>644439</v>
      </c>
      <c r="H40" s="41">
        <f>SUM(H25:H39)</f>
        <v>666893</v>
      </c>
      <c r="I40" s="41"/>
      <c r="J40" s="41">
        <v>0</v>
      </c>
      <c r="K40" s="42">
        <f t="shared" si="2"/>
        <v>0.41038994100523535</v>
      </c>
      <c r="L40" s="42">
        <f t="shared" si="2"/>
        <v>0.410287133953882</v>
      </c>
      <c r="M40" s="42">
        <f t="shared" si="2"/>
        <v>0.41208126516756727</v>
      </c>
      <c r="N40" s="42">
        <f t="shared" si="2"/>
        <v>0.41078644926235514</v>
      </c>
      <c r="O40" s="42">
        <f t="shared" si="2"/>
        <v>0.41102665176363579</v>
      </c>
      <c r="P40" s="42">
        <f t="shared" si="2"/>
        <v>0.41110647549203483</v>
      </c>
      <c r="Q40" s="42">
        <f t="shared" si="2"/>
        <v>0.41111900876680879</v>
      </c>
      <c r="R40" s="42"/>
    </row>
    <row r="42" spans="1:18" s="9" customFormat="1" ht="26.25" customHeight="1" x14ac:dyDescent="0.3">
      <c r="A42" s="90" t="s">
        <v>82</v>
      </c>
      <c r="B42" s="90"/>
      <c r="C42" s="90"/>
      <c r="D42" s="90"/>
      <c r="E42" s="90"/>
      <c r="F42" s="90"/>
      <c r="G42" s="90"/>
      <c r="H42" s="90"/>
      <c r="I42" s="90"/>
      <c r="J42" s="90"/>
      <c r="K42" s="90"/>
      <c r="L42" s="90"/>
      <c r="M42" s="90"/>
      <c r="N42" s="90"/>
      <c r="O42" s="90"/>
      <c r="P42" s="90"/>
      <c r="Q42" s="90"/>
    </row>
    <row r="43" spans="1:18" ht="15.75" customHeight="1" x14ac:dyDescent="0.3">
      <c r="A43" s="10"/>
      <c r="B43" s="18" t="s">
        <v>60</v>
      </c>
      <c r="C43" s="93" t="s">
        <v>61</v>
      </c>
      <c r="D43" s="93"/>
      <c r="E43" s="93"/>
      <c r="F43" s="93"/>
      <c r="G43" s="93"/>
      <c r="H43" s="93"/>
      <c r="I43" s="93"/>
      <c r="J43" s="10"/>
      <c r="K43" s="93" t="s">
        <v>75</v>
      </c>
      <c r="L43" s="93"/>
      <c r="M43" s="93"/>
      <c r="N43" s="93"/>
      <c r="O43" s="93"/>
      <c r="P43" s="93"/>
      <c r="Q43" s="93"/>
      <c r="R43" s="93"/>
    </row>
    <row r="44" spans="1:18" x14ac:dyDescent="0.3">
      <c r="B44" s="4">
        <v>2020</v>
      </c>
      <c r="C44" s="4">
        <v>2025</v>
      </c>
      <c r="D44" s="4">
        <v>2030</v>
      </c>
      <c r="E44" s="4">
        <v>2035</v>
      </c>
      <c r="F44" s="4">
        <v>2040</v>
      </c>
      <c r="G44" s="4">
        <v>2045</v>
      </c>
      <c r="H44" s="4">
        <v>2050</v>
      </c>
      <c r="K44" s="4">
        <v>2020</v>
      </c>
      <c r="L44" s="4">
        <v>2025</v>
      </c>
      <c r="M44" s="4">
        <v>2030</v>
      </c>
      <c r="N44" s="4">
        <v>2035</v>
      </c>
      <c r="O44" s="4">
        <v>2040</v>
      </c>
      <c r="P44" s="4">
        <v>2045</v>
      </c>
      <c r="Q44" s="4">
        <v>2050</v>
      </c>
    </row>
    <row r="45" spans="1:18" x14ac:dyDescent="0.3">
      <c r="A45" s="36" t="s">
        <v>18</v>
      </c>
      <c r="B45" s="37">
        <v>17983</v>
      </c>
      <c r="C45" s="37">
        <v>20432</v>
      </c>
      <c r="D45" s="37">
        <v>22644</v>
      </c>
      <c r="E45" s="37">
        <v>25026</v>
      </c>
      <c r="F45" s="37">
        <v>27276</v>
      </c>
      <c r="G45" s="37">
        <v>29472</v>
      </c>
      <c r="H45" s="37">
        <v>31778</v>
      </c>
      <c r="K45" s="38">
        <f>B45/(B25+B45+B65+B85+B105)</f>
        <v>0.16854427532428581</v>
      </c>
      <c r="L45" s="38">
        <f t="shared" ref="L45:Q59" si="4">C45/(C25+C45+C65+C85+C105)</f>
        <v>0.16855582504248545</v>
      </c>
      <c r="M45" s="38">
        <f t="shared" si="4"/>
        <v>0.17094713955700502</v>
      </c>
      <c r="N45" s="38">
        <f t="shared" si="4"/>
        <v>0.16855135812280689</v>
      </c>
      <c r="O45" s="38">
        <f t="shared" si="4"/>
        <v>0.16855036551378941</v>
      </c>
      <c r="P45" s="38">
        <f t="shared" si="4"/>
        <v>0.1685501212426225</v>
      </c>
      <c r="Q45" s="38">
        <f t="shared" si="4"/>
        <v>0.16855583431902446</v>
      </c>
    </row>
    <row r="46" spans="1:18" x14ac:dyDescent="0.3">
      <c r="A46" s="36" t="s">
        <v>19</v>
      </c>
      <c r="B46" s="37">
        <v>11631</v>
      </c>
      <c r="C46" s="37">
        <v>12071</v>
      </c>
      <c r="D46" s="37">
        <v>12527</v>
      </c>
      <c r="E46" s="37">
        <v>13191</v>
      </c>
      <c r="F46" s="37">
        <v>13902</v>
      </c>
      <c r="G46" s="37">
        <v>14625</v>
      </c>
      <c r="H46" s="37">
        <v>15317</v>
      </c>
      <c r="K46" s="38">
        <f t="shared" ref="K46:Q60" si="5">B46/(B26+B46+B66+B86+B106)</f>
        <v>0.22580519909142091</v>
      </c>
      <c r="L46" s="38">
        <f t="shared" si="4"/>
        <v>0.22582878096235875</v>
      </c>
      <c r="M46" s="38">
        <f t="shared" si="4"/>
        <v>0.22711120780303853</v>
      </c>
      <c r="N46" s="38">
        <f t="shared" si="4"/>
        <v>0.22583848379530552</v>
      </c>
      <c r="O46" s="38">
        <f t="shared" si="4"/>
        <v>0.22582846003898635</v>
      </c>
      <c r="P46" s="38">
        <f t="shared" si="4"/>
        <v>0.22583733535107089</v>
      </c>
      <c r="Q46" s="38">
        <f t="shared" si="4"/>
        <v>0.22581786551475033</v>
      </c>
    </row>
    <row r="47" spans="1:18" x14ac:dyDescent="0.3">
      <c r="A47" s="36" t="s">
        <v>44</v>
      </c>
      <c r="B47" s="37">
        <v>4383</v>
      </c>
      <c r="C47" s="37">
        <v>4439</v>
      </c>
      <c r="D47" s="37">
        <v>4520</v>
      </c>
      <c r="E47" s="37">
        <v>4588</v>
      </c>
      <c r="F47" s="37">
        <v>4659</v>
      </c>
      <c r="G47" s="37">
        <v>4747</v>
      </c>
      <c r="H47" s="37">
        <v>4851</v>
      </c>
      <c r="K47" s="38">
        <f t="shared" si="5"/>
        <v>0.34114259028642591</v>
      </c>
      <c r="L47" s="38">
        <f t="shared" si="4"/>
        <v>0.3411728537391438</v>
      </c>
      <c r="M47" s="38">
        <f t="shared" si="4"/>
        <v>0.34177693761814743</v>
      </c>
      <c r="N47" s="38">
        <f t="shared" si="4"/>
        <v>0.3411659726353361</v>
      </c>
      <c r="O47" s="38">
        <f t="shared" si="4"/>
        <v>0.34114373581313612</v>
      </c>
      <c r="P47" s="38">
        <f t="shared" si="4"/>
        <v>0.34111813739580338</v>
      </c>
      <c r="Q47" s="38">
        <f t="shared" si="4"/>
        <v>0.34116323229481682</v>
      </c>
    </row>
    <row r="48" spans="1:18" s="13" customFormat="1" x14ac:dyDescent="0.3">
      <c r="A48" s="36" t="s">
        <v>20</v>
      </c>
      <c r="B48" s="37">
        <v>152138</v>
      </c>
      <c r="C48" s="37">
        <v>156790</v>
      </c>
      <c r="D48" s="37">
        <v>161726</v>
      </c>
      <c r="E48" s="37">
        <v>169623</v>
      </c>
      <c r="F48" s="37">
        <v>176594</v>
      </c>
      <c r="G48" s="37">
        <v>182552</v>
      </c>
      <c r="H48" s="37">
        <v>187699</v>
      </c>
      <c r="I48" s="37"/>
      <c r="J48" s="37"/>
      <c r="K48" s="38">
        <f t="shared" si="5"/>
        <v>0.18461445117918662</v>
      </c>
      <c r="L48" s="38">
        <f t="shared" si="4"/>
        <v>0.18461498608823229</v>
      </c>
      <c r="M48" s="38">
        <f t="shared" si="4"/>
        <v>0.18515113665895422</v>
      </c>
      <c r="N48" s="38">
        <f t="shared" si="4"/>
        <v>0.1846150329834903</v>
      </c>
      <c r="O48" s="38">
        <f t="shared" si="4"/>
        <v>0.18461651046213196</v>
      </c>
      <c r="P48" s="38">
        <f t="shared" si="4"/>
        <v>0.18461563355184249</v>
      </c>
      <c r="Q48" s="38">
        <f t="shared" si="4"/>
        <v>0.18461500631943387</v>
      </c>
      <c r="R48" s="38"/>
    </row>
    <row r="49" spans="1:18" x14ac:dyDescent="0.3">
      <c r="A49" s="36" t="s">
        <v>45</v>
      </c>
      <c r="B49" s="37">
        <v>1851</v>
      </c>
      <c r="C49" s="37">
        <v>1799</v>
      </c>
      <c r="D49" s="37">
        <v>1748</v>
      </c>
      <c r="E49" s="37">
        <v>1724</v>
      </c>
      <c r="F49" s="37">
        <v>1712</v>
      </c>
      <c r="G49" s="37">
        <v>1710</v>
      </c>
      <c r="H49" s="37">
        <v>1702</v>
      </c>
      <c r="I49" s="37"/>
      <c r="J49" s="37"/>
      <c r="K49" s="38">
        <f t="shared" si="5"/>
        <v>0.23828527291452112</v>
      </c>
      <c r="L49" s="38">
        <f t="shared" si="4"/>
        <v>0.23846765641569459</v>
      </c>
      <c r="M49" s="38">
        <f t="shared" si="4"/>
        <v>0.23749999999999999</v>
      </c>
      <c r="N49" s="38">
        <f t="shared" si="4"/>
        <v>0.23835199778791649</v>
      </c>
      <c r="O49" s="38">
        <f t="shared" si="4"/>
        <v>0.23837371205792257</v>
      </c>
      <c r="P49" s="38">
        <f t="shared" si="4"/>
        <v>0.23846046576488636</v>
      </c>
      <c r="Q49" s="38">
        <f t="shared" si="4"/>
        <v>0.2384087407199888</v>
      </c>
      <c r="R49" s="38"/>
    </row>
    <row r="50" spans="1:18" s="13" customFormat="1" x14ac:dyDescent="0.3">
      <c r="A50" s="36" t="s">
        <v>46</v>
      </c>
      <c r="B50" s="37">
        <v>7521</v>
      </c>
      <c r="C50" s="37">
        <v>7465</v>
      </c>
      <c r="D50" s="37">
        <v>7445</v>
      </c>
      <c r="E50" s="37">
        <v>7576</v>
      </c>
      <c r="F50" s="37">
        <v>7741</v>
      </c>
      <c r="G50" s="37">
        <v>7935</v>
      </c>
      <c r="H50" s="37">
        <v>8109</v>
      </c>
      <c r="I50" s="37"/>
      <c r="J50" s="37"/>
      <c r="K50" s="38">
        <f t="shared" si="5"/>
        <v>0.31966167970078202</v>
      </c>
      <c r="L50" s="38">
        <f t="shared" si="4"/>
        <v>0.31972759979441495</v>
      </c>
      <c r="M50" s="38">
        <f t="shared" si="4"/>
        <v>0.31965136748100126</v>
      </c>
      <c r="N50" s="38">
        <f t="shared" si="4"/>
        <v>0.31970291598092587</v>
      </c>
      <c r="O50" s="38">
        <f t="shared" si="4"/>
        <v>0.31963828557271451</v>
      </c>
      <c r="P50" s="38">
        <f t="shared" si="4"/>
        <v>0.31965033838221074</v>
      </c>
      <c r="Q50" s="38">
        <f t="shared" si="4"/>
        <v>0.31967988646219347</v>
      </c>
      <c r="R50" s="38"/>
    </row>
    <row r="51" spans="1:18" s="20" customFormat="1" x14ac:dyDescent="0.3">
      <c r="A51" s="36" t="s">
        <v>21</v>
      </c>
      <c r="B51" s="37">
        <v>18071</v>
      </c>
      <c r="C51" s="37">
        <v>25018</v>
      </c>
      <c r="D51" s="37">
        <v>27761</v>
      </c>
      <c r="E51" s="37">
        <v>30664</v>
      </c>
      <c r="F51" s="37">
        <v>31712</v>
      </c>
      <c r="G51" s="37">
        <v>32515</v>
      </c>
      <c r="H51" s="37">
        <v>33220</v>
      </c>
      <c r="I51" s="37"/>
      <c r="J51" s="37"/>
      <c r="K51" s="38">
        <f t="shared" si="5"/>
        <v>0.25630806325792499</v>
      </c>
      <c r="L51" s="38">
        <f t="shared" si="4"/>
        <v>0.30504919951714971</v>
      </c>
      <c r="M51" s="38">
        <f t="shared" si="4"/>
        <v>0.31807921903823461</v>
      </c>
      <c r="N51" s="38">
        <f t="shared" si="4"/>
        <v>0.32148286382269375</v>
      </c>
      <c r="O51" s="38">
        <f t="shared" si="4"/>
        <v>0.31880648631259362</v>
      </c>
      <c r="P51" s="38">
        <f t="shared" si="4"/>
        <v>0.31691342020877394</v>
      </c>
      <c r="Q51" s="38">
        <f t="shared" si="4"/>
        <v>0.31532386665654188</v>
      </c>
      <c r="R51" s="38"/>
    </row>
    <row r="52" spans="1:18" s="19" customFormat="1" x14ac:dyDescent="0.3">
      <c r="A52" s="36" t="s">
        <v>47</v>
      </c>
      <c r="B52" s="37">
        <v>8351</v>
      </c>
      <c r="C52" s="37">
        <v>8202</v>
      </c>
      <c r="D52" s="37">
        <v>8140</v>
      </c>
      <c r="E52" s="37">
        <v>8151</v>
      </c>
      <c r="F52" s="37">
        <v>8231</v>
      </c>
      <c r="G52" s="37">
        <v>8370</v>
      </c>
      <c r="H52" s="37">
        <v>8499</v>
      </c>
      <c r="I52" s="37"/>
      <c r="J52" s="37"/>
      <c r="K52" s="38">
        <f t="shared" si="5"/>
        <v>0.39101933792199278</v>
      </c>
      <c r="L52" s="38">
        <f t="shared" si="4"/>
        <v>0.39103694874851014</v>
      </c>
      <c r="M52" s="38">
        <f t="shared" si="4"/>
        <v>0.39072625162002594</v>
      </c>
      <c r="N52" s="38">
        <f t="shared" si="4"/>
        <v>0.39102902374670184</v>
      </c>
      <c r="O52" s="38">
        <f t="shared" si="4"/>
        <v>0.39100280271721061</v>
      </c>
      <c r="P52" s="38">
        <f t="shared" si="4"/>
        <v>0.39099360022422575</v>
      </c>
      <c r="Q52" s="38">
        <f t="shared" si="4"/>
        <v>0.39101030548398968</v>
      </c>
      <c r="R52" s="38"/>
    </row>
    <row r="53" spans="1:18" x14ac:dyDescent="0.3">
      <c r="A53" s="36" t="s">
        <v>22</v>
      </c>
      <c r="B53" s="37">
        <v>9127</v>
      </c>
      <c r="C53" s="37">
        <v>9531</v>
      </c>
      <c r="D53" s="37">
        <v>9865</v>
      </c>
      <c r="E53" s="37">
        <v>10301</v>
      </c>
      <c r="F53" s="37">
        <v>10758</v>
      </c>
      <c r="G53" s="37">
        <v>11201</v>
      </c>
      <c r="H53" s="37">
        <v>11654</v>
      </c>
      <c r="I53" s="37"/>
      <c r="J53" s="37"/>
      <c r="K53" s="38">
        <f t="shared" si="5"/>
        <v>0.46867618362945468</v>
      </c>
      <c r="L53" s="38">
        <f t="shared" si="4"/>
        <v>0.46874538926867654</v>
      </c>
      <c r="M53" s="38">
        <f t="shared" si="4"/>
        <v>0.46985140026671746</v>
      </c>
      <c r="N53" s="38">
        <f t="shared" si="4"/>
        <v>0.46873862395340371</v>
      </c>
      <c r="O53" s="38">
        <f t="shared" si="4"/>
        <v>0.46871732310909725</v>
      </c>
      <c r="P53" s="38">
        <f t="shared" si="4"/>
        <v>0.46875915463486084</v>
      </c>
      <c r="Q53" s="38">
        <f t="shared" si="4"/>
        <v>0.46874748612340117</v>
      </c>
      <c r="R53" s="38"/>
    </row>
    <row r="54" spans="1:18" s="9" customFormat="1" x14ac:dyDescent="0.3">
      <c r="A54" s="36" t="s">
        <v>48</v>
      </c>
      <c r="B54" s="37">
        <v>8908</v>
      </c>
      <c r="C54" s="37">
        <v>8662</v>
      </c>
      <c r="D54" s="37">
        <v>8579</v>
      </c>
      <c r="E54" s="37">
        <v>8694</v>
      </c>
      <c r="F54" s="37">
        <v>8786</v>
      </c>
      <c r="G54" s="37">
        <v>8787</v>
      </c>
      <c r="H54" s="37">
        <v>8732</v>
      </c>
      <c r="I54" s="37"/>
      <c r="J54" s="39"/>
      <c r="K54" s="38">
        <f t="shared" si="5"/>
        <v>0.33220212567592766</v>
      </c>
      <c r="L54" s="38">
        <f t="shared" si="4"/>
        <v>0.33224655747765719</v>
      </c>
      <c r="M54" s="38">
        <f t="shared" si="4"/>
        <v>0.3319404140065777</v>
      </c>
      <c r="N54" s="38">
        <f t="shared" si="4"/>
        <v>0.33222515189728302</v>
      </c>
      <c r="O54" s="38">
        <f t="shared" si="4"/>
        <v>0.33222415488164564</v>
      </c>
      <c r="P54" s="38">
        <f t="shared" si="4"/>
        <v>0.33226196778340772</v>
      </c>
      <c r="Q54" s="38">
        <f t="shared" si="4"/>
        <v>0.33217940426826947</v>
      </c>
      <c r="R54" s="38"/>
    </row>
    <row r="55" spans="1:18" s="9" customFormat="1" x14ac:dyDescent="0.3">
      <c r="A55" s="36" t="s">
        <v>49</v>
      </c>
      <c r="B55" s="37">
        <v>1939</v>
      </c>
      <c r="C55" s="37">
        <v>1955</v>
      </c>
      <c r="D55" s="37">
        <v>1963</v>
      </c>
      <c r="E55" s="37">
        <v>2010</v>
      </c>
      <c r="F55" s="37">
        <v>2064</v>
      </c>
      <c r="G55" s="37">
        <v>2123</v>
      </c>
      <c r="H55" s="37">
        <v>2192</v>
      </c>
      <c r="I55" s="37"/>
      <c r="J55" s="39"/>
      <c r="K55" s="38">
        <f t="shared" si="5"/>
        <v>0.2589476495726496</v>
      </c>
      <c r="L55" s="38">
        <f t="shared" si="4"/>
        <v>0.25911199469847579</v>
      </c>
      <c r="M55" s="38">
        <f t="shared" si="4"/>
        <v>0.25910770855332627</v>
      </c>
      <c r="N55" s="38">
        <f t="shared" si="4"/>
        <v>0.25902061855670105</v>
      </c>
      <c r="O55" s="38">
        <f t="shared" si="4"/>
        <v>0.25913370998116758</v>
      </c>
      <c r="P55" s="38">
        <f t="shared" si="4"/>
        <v>0.25906040268456376</v>
      </c>
      <c r="Q55" s="38">
        <f t="shared" si="4"/>
        <v>0.25913228514008746</v>
      </c>
      <c r="R55" s="38"/>
    </row>
    <row r="56" spans="1:18" s="9" customFormat="1" x14ac:dyDescent="0.3">
      <c r="A56" s="36" t="s">
        <v>50</v>
      </c>
      <c r="B56" s="37">
        <v>1822</v>
      </c>
      <c r="C56" s="37">
        <v>1835</v>
      </c>
      <c r="D56" s="37">
        <v>1825</v>
      </c>
      <c r="E56" s="37">
        <v>1838</v>
      </c>
      <c r="F56" s="37">
        <v>1862</v>
      </c>
      <c r="G56" s="37">
        <v>1893</v>
      </c>
      <c r="H56" s="37">
        <v>1924</v>
      </c>
      <c r="I56" s="37"/>
      <c r="J56" s="39"/>
      <c r="K56" s="38">
        <f t="shared" si="5"/>
        <v>0.25482517482517481</v>
      </c>
      <c r="L56" s="38">
        <f t="shared" si="4"/>
        <v>0.25486111111111109</v>
      </c>
      <c r="M56" s="38">
        <f t="shared" si="4"/>
        <v>0.25481709019826865</v>
      </c>
      <c r="N56" s="38">
        <f t="shared" si="4"/>
        <v>0.25478236761851952</v>
      </c>
      <c r="O56" s="38">
        <f t="shared" si="4"/>
        <v>0.25485901998357513</v>
      </c>
      <c r="P56" s="38">
        <f t="shared" si="4"/>
        <v>0.2550181867169608</v>
      </c>
      <c r="Q56" s="38">
        <f t="shared" si="4"/>
        <v>0.25483443708609271</v>
      </c>
      <c r="R56" s="38"/>
    </row>
    <row r="57" spans="1:18" s="9" customFormat="1" x14ac:dyDescent="0.3">
      <c r="A57" s="36" t="s">
        <v>23</v>
      </c>
      <c r="B57" s="37">
        <v>4949</v>
      </c>
      <c r="C57" s="37">
        <v>5206</v>
      </c>
      <c r="D57" s="37">
        <v>5461</v>
      </c>
      <c r="E57" s="37">
        <v>5774</v>
      </c>
      <c r="F57" s="37">
        <v>6089</v>
      </c>
      <c r="G57" s="37">
        <v>6379</v>
      </c>
      <c r="H57" s="37">
        <v>6645</v>
      </c>
      <c r="I57" s="37"/>
      <c r="J57" s="39"/>
      <c r="K57" s="38">
        <f t="shared" si="5"/>
        <v>0.30937050697005691</v>
      </c>
      <c r="L57" s="38">
        <f t="shared" si="4"/>
        <v>0.30940211577320814</v>
      </c>
      <c r="M57" s="38">
        <f t="shared" si="4"/>
        <v>0.31056642402183804</v>
      </c>
      <c r="N57" s="38">
        <f t="shared" si="4"/>
        <v>0.30943193997856377</v>
      </c>
      <c r="O57" s="38">
        <f t="shared" si="4"/>
        <v>0.30944757839101489</v>
      </c>
      <c r="P57" s="38">
        <f t="shared" si="4"/>
        <v>0.30941986806363991</v>
      </c>
      <c r="Q57" s="38">
        <f t="shared" si="4"/>
        <v>0.30944397876501817</v>
      </c>
      <c r="R57" s="38"/>
    </row>
    <row r="58" spans="1:18" s="9" customFormat="1" x14ac:dyDescent="0.3">
      <c r="A58" s="36" t="s">
        <v>51</v>
      </c>
      <c r="B58" s="37">
        <v>7829</v>
      </c>
      <c r="C58" s="37">
        <v>7639</v>
      </c>
      <c r="D58" s="37">
        <v>7507</v>
      </c>
      <c r="E58" s="37">
        <v>7451</v>
      </c>
      <c r="F58" s="37">
        <v>7446</v>
      </c>
      <c r="G58" s="37">
        <v>7442</v>
      </c>
      <c r="H58" s="37">
        <v>7434</v>
      </c>
      <c r="I58" s="37"/>
      <c r="J58" s="39"/>
      <c r="K58" s="38">
        <f t="shared" si="5"/>
        <v>0.25095361733500016</v>
      </c>
      <c r="L58" s="38">
        <f t="shared" si="4"/>
        <v>0.25099392147198951</v>
      </c>
      <c r="M58" s="38">
        <f t="shared" si="4"/>
        <v>0.25060924720413952</v>
      </c>
      <c r="N58" s="38">
        <f t="shared" si="4"/>
        <v>0.25097682565346269</v>
      </c>
      <c r="O58" s="38">
        <f t="shared" si="4"/>
        <v>0.25098594397815754</v>
      </c>
      <c r="P58" s="38">
        <f t="shared" si="4"/>
        <v>0.25099494097807756</v>
      </c>
      <c r="Q58" s="38">
        <f t="shared" si="4"/>
        <v>0.25096212274660723</v>
      </c>
      <c r="R58" s="38"/>
    </row>
    <row r="59" spans="1:18" s="9" customFormat="1" x14ac:dyDescent="0.3">
      <c r="A59" s="36" t="s">
        <v>24</v>
      </c>
      <c r="B59" s="37">
        <v>14970</v>
      </c>
      <c r="C59" s="37">
        <v>15331</v>
      </c>
      <c r="D59" s="37">
        <v>16334</v>
      </c>
      <c r="E59" s="37">
        <v>17584</v>
      </c>
      <c r="F59" s="37">
        <v>19042</v>
      </c>
      <c r="G59" s="37">
        <v>20637</v>
      </c>
      <c r="H59" s="37">
        <v>22203</v>
      </c>
      <c r="I59" s="37"/>
      <c r="J59" s="39"/>
      <c r="K59" s="38">
        <f t="shared" si="5"/>
        <v>0.38942795452771778</v>
      </c>
      <c r="L59" s="38">
        <f t="shared" si="4"/>
        <v>0.38944774678656707</v>
      </c>
      <c r="M59" s="38">
        <f t="shared" si="4"/>
        <v>0.39146794487717196</v>
      </c>
      <c r="N59" s="38">
        <f t="shared" si="4"/>
        <v>0.38944873867688423</v>
      </c>
      <c r="O59" s="38">
        <f t="shared" si="4"/>
        <v>0.38945473882275944</v>
      </c>
      <c r="P59" s="38">
        <f t="shared" si="4"/>
        <v>0.38942879248202594</v>
      </c>
      <c r="Q59" s="38">
        <f t="shared" si="4"/>
        <v>0.38945798982634627</v>
      </c>
      <c r="R59" s="38"/>
    </row>
    <row r="60" spans="1:18" s="9" customFormat="1" ht="14.4" customHeight="1" x14ac:dyDescent="0.3">
      <c r="A60" s="40" t="s">
        <v>86</v>
      </c>
      <c r="B60" s="41">
        <f>SUM(B45:B59)</f>
        <v>271473</v>
      </c>
      <c r="C60" s="41">
        <f t="shared" ref="C60:H60" si="6">SUM(C45:C59)</f>
        <v>286375</v>
      </c>
      <c r="D60" s="41">
        <f t="shared" si="6"/>
        <v>298045</v>
      </c>
      <c r="E60" s="41">
        <f t="shared" si="6"/>
        <v>314195</v>
      </c>
      <c r="F60" s="41">
        <f t="shared" si="6"/>
        <v>327874</v>
      </c>
      <c r="G60" s="41">
        <f t="shared" si="6"/>
        <v>340388</v>
      </c>
      <c r="H60" s="41">
        <f t="shared" si="6"/>
        <v>351959</v>
      </c>
      <c r="I60" s="41"/>
      <c r="J60" s="41">
        <v>0</v>
      </c>
      <c r="K60" s="42">
        <f t="shared" si="5"/>
        <v>0.21462725460091173</v>
      </c>
      <c r="L60" s="42">
        <f t="shared" si="5"/>
        <v>0.21717813650352111</v>
      </c>
      <c r="M60" s="42">
        <f t="shared" si="5"/>
        <v>0.21851927884862127</v>
      </c>
      <c r="N60" s="42">
        <f t="shared" si="5"/>
        <v>0.21775199025852743</v>
      </c>
      <c r="O60" s="42">
        <f t="shared" si="5"/>
        <v>0.217362826484436</v>
      </c>
      <c r="P60" s="42">
        <f t="shared" si="5"/>
        <v>0.21714345497367904</v>
      </c>
      <c r="Q60" s="42">
        <f t="shared" si="5"/>
        <v>0.21697189085289134</v>
      </c>
      <c r="R60" s="42"/>
    </row>
    <row r="62" spans="1:18" s="9" customFormat="1" ht="26.25" customHeight="1" x14ac:dyDescent="0.3">
      <c r="A62" s="90" t="s">
        <v>83</v>
      </c>
      <c r="B62" s="90"/>
      <c r="C62" s="90"/>
      <c r="D62" s="90"/>
      <c r="E62" s="90"/>
      <c r="F62" s="90"/>
      <c r="G62" s="90"/>
      <c r="H62" s="90"/>
      <c r="I62" s="90"/>
      <c r="J62" s="90"/>
      <c r="K62" s="90"/>
      <c r="L62" s="90"/>
      <c r="M62" s="90"/>
      <c r="N62" s="90"/>
      <c r="O62" s="90"/>
      <c r="P62" s="90"/>
      <c r="Q62" s="90"/>
    </row>
    <row r="63" spans="1:18" s="13" customFormat="1" ht="15.75" customHeight="1" x14ac:dyDescent="0.3">
      <c r="A63" s="10"/>
      <c r="B63" s="18" t="s">
        <v>60</v>
      </c>
      <c r="C63" s="93" t="s">
        <v>61</v>
      </c>
      <c r="D63" s="93"/>
      <c r="E63" s="93"/>
      <c r="F63" s="93"/>
      <c r="G63" s="93"/>
      <c r="H63" s="93"/>
      <c r="I63" s="93"/>
      <c r="J63" s="10"/>
      <c r="K63" s="93" t="s">
        <v>75</v>
      </c>
      <c r="L63" s="93"/>
      <c r="M63" s="93"/>
      <c r="N63" s="93"/>
      <c r="O63" s="93"/>
      <c r="P63" s="93"/>
      <c r="Q63" s="93"/>
      <c r="R63" s="93"/>
    </row>
    <row r="64" spans="1:18" x14ac:dyDescent="0.3">
      <c r="A64" s="48" t="s">
        <v>0</v>
      </c>
      <c r="B64" s="4">
        <v>2020</v>
      </c>
      <c r="C64" s="4">
        <v>2025</v>
      </c>
      <c r="D64" s="4">
        <v>2030</v>
      </c>
      <c r="E64" s="4">
        <v>2035</v>
      </c>
      <c r="F64" s="4">
        <v>2040</v>
      </c>
      <c r="G64" s="4">
        <v>2045</v>
      </c>
      <c r="H64" s="4">
        <v>2050</v>
      </c>
      <c r="K64" s="4">
        <v>2020</v>
      </c>
      <c r="L64" s="4">
        <v>2025</v>
      </c>
      <c r="M64" s="4">
        <v>2030</v>
      </c>
      <c r="N64" s="4">
        <v>2035</v>
      </c>
      <c r="O64" s="4">
        <v>2040</v>
      </c>
      <c r="P64" s="4">
        <v>2045</v>
      </c>
      <c r="Q64" s="4">
        <v>2050</v>
      </c>
    </row>
    <row r="65" spans="1:18" x14ac:dyDescent="0.3">
      <c r="A65" s="36" t="s">
        <v>18</v>
      </c>
      <c r="B65" s="37">
        <v>14066</v>
      </c>
      <c r="C65" s="37">
        <v>15980</v>
      </c>
      <c r="D65" s="37">
        <v>17710</v>
      </c>
      <c r="E65" s="37">
        <v>19573</v>
      </c>
      <c r="F65" s="37">
        <v>21332</v>
      </c>
      <c r="G65" s="37">
        <v>23050</v>
      </c>
      <c r="H65" s="37">
        <v>24853</v>
      </c>
      <c r="K65" s="38">
        <f t="shared" ref="K65:Q80" si="7">B65/(B25+B45+B65+B85+B105)</f>
        <v>0.13183249606358252</v>
      </c>
      <c r="L65" s="38">
        <f t="shared" si="7"/>
        <v>0.13182860631259383</v>
      </c>
      <c r="M65" s="38">
        <f t="shared" si="7"/>
        <v>0.13369872114266734</v>
      </c>
      <c r="N65" s="38">
        <f t="shared" si="7"/>
        <v>0.13182513116509628</v>
      </c>
      <c r="O65" s="38">
        <f t="shared" si="7"/>
        <v>0.13181978285452983</v>
      </c>
      <c r="P65" s="38">
        <f t="shared" si="7"/>
        <v>0.13182275701148374</v>
      </c>
      <c r="Q65" s="38">
        <f t="shared" si="7"/>
        <v>0.13182447448960649</v>
      </c>
    </row>
    <row r="66" spans="1:18" x14ac:dyDescent="0.3">
      <c r="A66" s="36" t="s">
        <v>19</v>
      </c>
      <c r="B66" s="37">
        <v>7878</v>
      </c>
      <c r="C66" s="37">
        <v>8174</v>
      </c>
      <c r="D66" s="37">
        <v>8483</v>
      </c>
      <c r="E66" s="37">
        <v>8932</v>
      </c>
      <c r="F66" s="37">
        <v>9414</v>
      </c>
      <c r="G66" s="37">
        <v>9903</v>
      </c>
      <c r="H66" s="37">
        <v>10373</v>
      </c>
      <c r="K66" s="38">
        <f t="shared" si="7"/>
        <v>0.15294414568327866</v>
      </c>
      <c r="L66" s="38">
        <f t="shared" si="7"/>
        <v>0.152922247998204</v>
      </c>
      <c r="M66" s="38">
        <f t="shared" si="7"/>
        <v>0.15379455382718735</v>
      </c>
      <c r="N66" s="38">
        <f t="shared" si="7"/>
        <v>0.15292163878854287</v>
      </c>
      <c r="O66" s="38">
        <f t="shared" si="7"/>
        <v>0.15292397660818713</v>
      </c>
      <c r="P66" s="38">
        <f t="shared" si="7"/>
        <v>0.15292082953720718</v>
      </c>
      <c r="Q66" s="38">
        <f t="shared" si="7"/>
        <v>0.15292868831915551</v>
      </c>
    </row>
    <row r="67" spans="1:18" x14ac:dyDescent="0.3">
      <c r="A67" s="36" t="s">
        <v>44</v>
      </c>
      <c r="B67" s="37">
        <v>2435</v>
      </c>
      <c r="C67" s="37">
        <v>2467</v>
      </c>
      <c r="D67" s="37">
        <v>2512</v>
      </c>
      <c r="E67" s="37">
        <v>2550</v>
      </c>
      <c r="F67" s="37">
        <v>2589</v>
      </c>
      <c r="G67" s="37">
        <v>2638</v>
      </c>
      <c r="H67" s="37">
        <v>2695</v>
      </c>
      <c r="K67" s="38">
        <f t="shared" si="7"/>
        <v>0.18952366127023662</v>
      </c>
      <c r="L67" s="38">
        <f t="shared" si="7"/>
        <v>0.18960879256014143</v>
      </c>
      <c r="M67" s="38">
        <f t="shared" si="7"/>
        <v>0.18994328922495274</v>
      </c>
      <c r="N67" s="38">
        <f t="shared" si="7"/>
        <v>0.18961927424152289</v>
      </c>
      <c r="O67" s="38">
        <f t="shared" si="7"/>
        <v>0.18957311268946328</v>
      </c>
      <c r="P67" s="38">
        <f t="shared" si="7"/>
        <v>0.1895659672319632</v>
      </c>
      <c r="Q67" s="38">
        <f t="shared" si="7"/>
        <v>0.189535129052676</v>
      </c>
    </row>
    <row r="68" spans="1:18" s="13" customFormat="1" x14ac:dyDescent="0.3">
      <c r="A68" s="36" t="s">
        <v>20</v>
      </c>
      <c r="B68" s="37">
        <v>66029</v>
      </c>
      <c r="C68" s="37">
        <v>68046</v>
      </c>
      <c r="D68" s="37">
        <v>70188</v>
      </c>
      <c r="E68" s="37">
        <v>73616</v>
      </c>
      <c r="F68" s="37">
        <v>76641</v>
      </c>
      <c r="G68" s="37">
        <v>79227</v>
      </c>
      <c r="H68" s="37">
        <v>81461</v>
      </c>
      <c r="I68" s="37"/>
      <c r="J68" s="37"/>
      <c r="K68" s="38">
        <f t="shared" si="7"/>
        <v>8.0124016333266587E-2</v>
      </c>
      <c r="L68" s="38">
        <f t="shared" si="7"/>
        <v>8.012189134102847E-2</v>
      </c>
      <c r="M68" s="38">
        <f t="shared" si="7"/>
        <v>8.0354352298447243E-2</v>
      </c>
      <c r="N68" s="38">
        <f t="shared" si="7"/>
        <v>8.0122508551980692E-2</v>
      </c>
      <c r="O68" s="38">
        <f t="shared" si="7"/>
        <v>8.0122733378983735E-2</v>
      </c>
      <c r="P68" s="38">
        <f t="shared" si="7"/>
        <v>8.0122610540623085E-2</v>
      </c>
      <c r="Q68" s="38">
        <f t="shared" si="7"/>
        <v>8.0122552756207555E-2</v>
      </c>
      <c r="R68" s="38"/>
    </row>
    <row r="69" spans="1:18" x14ac:dyDescent="0.3">
      <c r="A69" s="36" t="s">
        <v>45</v>
      </c>
      <c r="B69" s="37">
        <v>1109</v>
      </c>
      <c r="C69" s="37">
        <v>1076</v>
      </c>
      <c r="D69" s="37">
        <v>1045</v>
      </c>
      <c r="E69" s="37">
        <v>1032</v>
      </c>
      <c r="F69" s="37">
        <v>1025</v>
      </c>
      <c r="G69" s="37">
        <v>1023</v>
      </c>
      <c r="H69" s="37">
        <v>1019</v>
      </c>
      <c r="I69" s="37"/>
      <c r="J69" s="37"/>
      <c r="K69" s="38">
        <f t="shared" si="7"/>
        <v>0.14276519052523173</v>
      </c>
      <c r="L69" s="38">
        <f t="shared" si="7"/>
        <v>0.14262990455991517</v>
      </c>
      <c r="M69" s="38">
        <f t="shared" si="7"/>
        <v>0.14198369565217392</v>
      </c>
      <c r="N69" s="38">
        <f t="shared" si="7"/>
        <v>0.14267938614682704</v>
      </c>
      <c r="O69" s="38">
        <f t="shared" si="7"/>
        <v>0.1427179058758006</v>
      </c>
      <c r="P69" s="38">
        <f t="shared" si="7"/>
        <v>0.14265792776460745</v>
      </c>
      <c r="Q69" s="38">
        <f t="shared" si="7"/>
        <v>0.14273707802213195</v>
      </c>
      <c r="R69" s="38"/>
    </row>
    <row r="70" spans="1:18" x14ac:dyDescent="0.3">
      <c r="A70" s="36" t="s">
        <v>46</v>
      </c>
      <c r="B70" s="37">
        <v>2530</v>
      </c>
      <c r="C70" s="37">
        <v>2509</v>
      </c>
      <c r="D70" s="37">
        <v>2504</v>
      </c>
      <c r="E70" s="37">
        <v>2547</v>
      </c>
      <c r="F70" s="37">
        <v>2603</v>
      </c>
      <c r="G70" s="37">
        <v>2669</v>
      </c>
      <c r="H70" s="37">
        <v>2727</v>
      </c>
      <c r="I70" s="37"/>
      <c r="J70" s="37"/>
      <c r="K70" s="38">
        <f t="shared" si="7"/>
        <v>0.10753145188711323</v>
      </c>
      <c r="L70" s="38">
        <f t="shared" si="7"/>
        <v>0.10746102449888642</v>
      </c>
      <c r="M70" s="38">
        <f t="shared" si="7"/>
        <v>0.10750933837104461</v>
      </c>
      <c r="N70" s="38">
        <f t="shared" si="7"/>
        <v>0.10748195974173946</v>
      </c>
      <c r="O70" s="38">
        <f t="shared" si="7"/>
        <v>0.1074820381534396</v>
      </c>
      <c r="P70" s="38">
        <f t="shared" si="7"/>
        <v>0.10751691911053819</v>
      </c>
      <c r="Q70" s="38">
        <f t="shared" si="7"/>
        <v>0.10750611054166995</v>
      </c>
      <c r="R70" s="38"/>
    </row>
    <row r="71" spans="1:18" s="13" customFormat="1" x14ac:dyDescent="0.3">
      <c r="A71" s="36" t="s">
        <v>21</v>
      </c>
      <c r="B71" s="37">
        <v>8843</v>
      </c>
      <c r="C71" s="37">
        <v>9128</v>
      </c>
      <c r="D71" s="37">
        <v>9434</v>
      </c>
      <c r="E71" s="37">
        <v>10163</v>
      </c>
      <c r="F71" s="37">
        <v>10676</v>
      </c>
      <c r="G71" s="37">
        <v>11068</v>
      </c>
      <c r="H71" s="37">
        <v>11413</v>
      </c>
      <c r="I71" s="37"/>
      <c r="J71" s="37"/>
      <c r="K71" s="38">
        <f t="shared" si="7"/>
        <v>0.12542372881355932</v>
      </c>
      <c r="L71" s="38">
        <f t="shared" si="7"/>
        <v>0.11129942813944131</v>
      </c>
      <c r="M71" s="38">
        <f t="shared" si="7"/>
        <v>0.10809262463191906</v>
      </c>
      <c r="N71" s="38">
        <f t="shared" si="7"/>
        <v>0.1065493851105543</v>
      </c>
      <c r="O71" s="38">
        <f t="shared" si="7"/>
        <v>0.10732776387087693</v>
      </c>
      <c r="P71" s="38">
        <f t="shared" si="7"/>
        <v>0.10787629509059543</v>
      </c>
      <c r="Q71" s="38">
        <f t="shared" si="7"/>
        <v>0.1083320677348318</v>
      </c>
      <c r="R71" s="38"/>
    </row>
    <row r="72" spans="1:18" x14ac:dyDescent="0.3">
      <c r="A72" s="36" t="s">
        <v>47</v>
      </c>
      <c r="B72" s="37">
        <v>2359</v>
      </c>
      <c r="C72" s="37">
        <v>2316</v>
      </c>
      <c r="D72" s="37">
        <v>2299</v>
      </c>
      <c r="E72" s="37">
        <v>2301</v>
      </c>
      <c r="F72" s="37">
        <v>2325</v>
      </c>
      <c r="G72" s="37">
        <v>2364</v>
      </c>
      <c r="H72" s="37">
        <v>2400</v>
      </c>
      <c r="I72" s="37"/>
      <c r="J72" s="37"/>
      <c r="K72" s="38">
        <f t="shared" si="7"/>
        <v>0.11045558833169453</v>
      </c>
      <c r="L72" s="38">
        <f t="shared" si="7"/>
        <v>0.11041716328963051</v>
      </c>
      <c r="M72" s="38">
        <f t="shared" si="7"/>
        <v>0.11035376566025057</v>
      </c>
      <c r="N72" s="38">
        <f t="shared" si="7"/>
        <v>0.11038618373710722</v>
      </c>
      <c r="O72" s="38">
        <f t="shared" si="7"/>
        <v>0.11044605956961664</v>
      </c>
      <c r="P72" s="38">
        <f t="shared" si="7"/>
        <v>0.11043116737515767</v>
      </c>
      <c r="Q72" s="38">
        <f t="shared" si="7"/>
        <v>0.1104158998895841</v>
      </c>
      <c r="R72" s="38"/>
    </row>
    <row r="73" spans="1:18" s="13" customFormat="1" x14ac:dyDescent="0.3">
      <c r="A73" s="36" t="s">
        <v>22</v>
      </c>
      <c r="B73" s="37">
        <v>1679</v>
      </c>
      <c r="C73" s="37">
        <v>1753</v>
      </c>
      <c r="D73" s="37">
        <v>1814</v>
      </c>
      <c r="E73" s="37">
        <v>1895</v>
      </c>
      <c r="F73" s="37">
        <v>1978</v>
      </c>
      <c r="G73" s="37">
        <v>2059</v>
      </c>
      <c r="H73" s="37">
        <v>2143</v>
      </c>
      <c r="I73" s="37"/>
      <c r="J73" s="37"/>
      <c r="K73" s="38">
        <f t="shared" si="7"/>
        <v>8.6217520796960045E-2</v>
      </c>
      <c r="L73" s="38">
        <f t="shared" si="7"/>
        <v>8.6214528107018143E-2</v>
      </c>
      <c r="M73" s="38">
        <f t="shared" si="7"/>
        <v>8.6397409030291486E-2</v>
      </c>
      <c r="N73" s="38">
        <f t="shared" si="7"/>
        <v>8.6230433199854392E-2</v>
      </c>
      <c r="O73" s="38">
        <f t="shared" si="7"/>
        <v>8.617985360752875E-2</v>
      </c>
      <c r="P73" s="38">
        <f t="shared" si="7"/>
        <v>8.6168654530236449E-2</v>
      </c>
      <c r="Q73" s="38">
        <f t="shared" si="7"/>
        <v>8.6195800820529328E-2</v>
      </c>
      <c r="R73" s="38"/>
    </row>
    <row r="74" spans="1:18" x14ac:dyDescent="0.3">
      <c r="A74" s="36" t="s">
        <v>48</v>
      </c>
      <c r="B74" s="37">
        <v>3067</v>
      </c>
      <c r="C74" s="37">
        <v>2983</v>
      </c>
      <c r="D74" s="37">
        <v>2954</v>
      </c>
      <c r="E74" s="37">
        <v>2993</v>
      </c>
      <c r="F74" s="37">
        <v>3025</v>
      </c>
      <c r="G74" s="37">
        <v>3025</v>
      </c>
      <c r="H74" s="37">
        <v>3007</v>
      </c>
      <c r="I74" s="37"/>
      <c r="J74" s="39"/>
      <c r="K74" s="38">
        <f t="shared" si="7"/>
        <v>0.11437628193175461</v>
      </c>
      <c r="L74" s="38">
        <f t="shared" si="7"/>
        <v>0.11441831920524721</v>
      </c>
      <c r="M74" s="38">
        <f t="shared" si="7"/>
        <v>0.114296769201006</v>
      </c>
      <c r="N74" s="38">
        <f t="shared" si="7"/>
        <v>0.11437196683098322</v>
      </c>
      <c r="O74" s="38">
        <f t="shared" si="7"/>
        <v>0.11438402783029569</v>
      </c>
      <c r="P74" s="38">
        <f t="shared" si="7"/>
        <v>0.11438402783029569</v>
      </c>
      <c r="Q74" s="38">
        <f t="shared" si="7"/>
        <v>0.11439114391143912</v>
      </c>
      <c r="R74" s="38"/>
    </row>
    <row r="75" spans="1:18" x14ac:dyDescent="0.3">
      <c r="A75" s="36" t="s">
        <v>49</v>
      </c>
      <c r="B75" s="37">
        <v>1367</v>
      </c>
      <c r="C75" s="37">
        <v>1377</v>
      </c>
      <c r="D75" s="37">
        <v>1385</v>
      </c>
      <c r="E75" s="37">
        <v>1416</v>
      </c>
      <c r="F75" s="37">
        <v>1454</v>
      </c>
      <c r="G75" s="37">
        <v>1496</v>
      </c>
      <c r="H75" s="37">
        <v>1544</v>
      </c>
      <c r="I75" s="37"/>
      <c r="J75" s="39"/>
      <c r="K75" s="38">
        <f t="shared" si="7"/>
        <v>0.18255876068376067</v>
      </c>
      <c r="L75" s="38">
        <f t="shared" si="7"/>
        <v>0.18250497017892645</v>
      </c>
      <c r="M75" s="38">
        <f t="shared" si="7"/>
        <v>0.18281414994720169</v>
      </c>
      <c r="N75" s="38">
        <f t="shared" si="7"/>
        <v>0.1824742268041237</v>
      </c>
      <c r="O75" s="38">
        <f t="shared" si="7"/>
        <v>0.18254865034526052</v>
      </c>
      <c r="P75" s="38">
        <f t="shared" si="7"/>
        <v>0.18255033557046979</v>
      </c>
      <c r="Q75" s="38">
        <f t="shared" si="7"/>
        <v>0.1825274855183828</v>
      </c>
      <c r="R75" s="38"/>
    </row>
    <row r="76" spans="1:18" x14ac:dyDescent="0.3">
      <c r="A76" s="36" t="s">
        <v>50</v>
      </c>
      <c r="B76" s="37">
        <v>793</v>
      </c>
      <c r="C76" s="37">
        <v>799</v>
      </c>
      <c r="D76" s="37">
        <v>793</v>
      </c>
      <c r="E76" s="37">
        <v>800</v>
      </c>
      <c r="F76" s="37">
        <v>810</v>
      </c>
      <c r="G76" s="37">
        <v>823</v>
      </c>
      <c r="H76" s="37">
        <v>837</v>
      </c>
      <c r="I76" s="37"/>
      <c r="J76" s="39"/>
      <c r="K76" s="38">
        <f t="shared" si="7"/>
        <v>0.11090909090909092</v>
      </c>
      <c r="L76" s="38">
        <f t="shared" si="7"/>
        <v>0.11097222222222222</v>
      </c>
      <c r="M76" s="38">
        <f t="shared" si="7"/>
        <v>0.11072326165875454</v>
      </c>
      <c r="N76" s="38">
        <f t="shared" si="7"/>
        <v>0.11089548100914888</v>
      </c>
      <c r="O76" s="38">
        <f t="shared" si="7"/>
        <v>0.11086777990692581</v>
      </c>
      <c r="P76" s="38">
        <f t="shared" si="7"/>
        <v>0.11087161524989897</v>
      </c>
      <c r="Q76" s="38">
        <f t="shared" si="7"/>
        <v>0.11086092715231788</v>
      </c>
      <c r="R76" s="38"/>
    </row>
    <row r="77" spans="1:18" x14ac:dyDescent="0.3">
      <c r="A77" s="36" t="s">
        <v>23</v>
      </c>
      <c r="B77" s="37">
        <v>1746</v>
      </c>
      <c r="C77" s="37">
        <v>1835</v>
      </c>
      <c r="D77" s="37">
        <v>1925</v>
      </c>
      <c r="E77" s="37">
        <v>2035</v>
      </c>
      <c r="F77" s="37">
        <v>2146</v>
      </c>
      <c r="G77" s="37">
        <v>2248</v>
      </c>
      <c r="H77" s="37">
        <v>2342</v>
      </c>
      <c r="I77" s="37"/>
      <c r="J77" s="39"/>
      <c r="K77" s="38">
        <f t="shared" si="7"/>
        <v>0.10914546477464525</v>
      </c>
      <c r="L77" s="38">
        <f t="shared" si="7"/>
        <v>0.10905741114941163</v>
      </c>
      <c r="M77" s="38">
        <f t="shared" si="7"/>
        <v>0.10947452229299363</v>
      </c>
      <c r="N77" s="38">
        <f t="shared" si="7"/>
        <v>0.10905680600214362</v>
      </c>
      <c r="O77" s="38">
        <f t="shared" si="7"/>
        <v>0.10906134065152208</v>
      </c>
      <c r="P77" s="38">
        <f t="shared" si="7"/>
        <v>0.10904152114862242</v>
      </c>
      <c r="Q77" s="38">
        <f t="shared" si="7"/>
        <v>0.10906212163546615</v>
      </c>
      <c r="R77" s="38"/>
    </row>
    <row r="78" spans="1:18" x14ac:dyDescent="0.3">
      <c r="A78" s="36" t="s">
        <v>51</v>
      </c>
      <c r="B78" s="37">
        <v>4093</v>
      </c>
      <c r="C78" s="37">
        <v>3991</v>
      </c>
      <c r="D78" s="37">
        <v>3923</v>
      </c>
      <c r="E78" s="37">
        <v>3894</v>
      </c>
      <c r="F78" s="37">
        <v>3891</v>
      </c>
      <c r="G78" s="37">
        <v>3889</v>
      </c>
      <c r="H78" s="37">
        <v>3885</v>
      </c>
      <c r="I78" s="37"/>
      <c r="J78" s="39"/>
      <c r="K78" s="38">
        <f t="shared" si="7"/>
        <v>0.13119851267750104</v>
      </c>
      <c r="L78" s="38">
        <f t="shared" si="7"/>
        <v>0.13113192048628225</v>
      </c>
      <c r="M78" s="38">
        <f t="shared" si="7"/>
        <v>0.13096311133366717</v>
      </c>
      <c r="N78" s="38">
        <f t="shared" si="7"/>
        <v>0.13116410670978174</v>
      </c>
      <c r="O78" s="38">
        <f t="shared" si="7"/>
        <v>0.13115582970977854</v>
      </c>
      <c r="P78" s="38">
        <f t="shared" si="7"/>
        <v>0.1311635750421585</v>
      </c>
      <c r="Q78" s="38">
        <f t="shared" si="7"/>
        <v>0.13115252177435691</v>
      </c>
      <c r="R78" s="38"/>
    </row>
    <row r="79" spans="1:18" x14ac:dyDescent="0.3">
      <c r="A79" s="36" t="s">
        <v>24</v>
      </c>
      <c r="B79" s="37">
        <v>3338</v>
      </c>
      <c r="C79" s="37">
        <v>3418</v>
      </c>
      <c r="D79" s="37">
        <v>3641</v>
      </c>
      <c r="E79" s="37">
        <v>3919</v>
      </c>
      <c r="F79" s="37">
        <v>4244</v>
      </c>
      <c r="G79" s="37">
        <v>4600</v>
      </c>
      <c r="H79" s="37">
        <v>4948</v>
      </c>
      <c r="I79" s="37"/>
      <c r="J79" s="39"/>
      <c r="K79" s="38">
        <f t="shared" si="7"/>
        <v>8.6834369553341478E-2</v>
      </c>
      <c r="L79" s="38">
        <f t="shared" si="7"/>
        <v>8.6826195193822078E-2</v>
      </c>
      <c r="M79" s="38">
        <f t="shared" si="7"/>
        <v>8.7261833433193534E-2</v>
      </c>
      <c r="N79" s="38">
        <f t="shared" si="7"/>
        <v>8.6797634603884746E-2</v>
      </c>
      <c r="O79" s="38">
        <f t="shared" si="7"/>
        <v>8.6800016361925802E-2</v>
      </c>
      <c r="P79" s="38">
        <f t="shared" si="7"/>
        <v>8.6803917498537539E-2</v>
      </c>
      <c r="Q79" s="38">
        <f t="shared" si="7"/>
        <v>8.6791790913874761E-2</v>
      </c>
      <c r="R79" s="38"/>
    </row>
    <row r="80" spans="1:18" x14ac:dyDescent="0.3">
      <c r="A80" s="40" t="s">
        <v>86</v>
      </c>
      <c r="B80" s="41">
        <f>SUM(B65:B79)</f>
        <v>121332</v>
      </c>
      <c r="C80" s="41">
        <f t="shared" ref="C80:H80" si="8">SUM(C65:C79)</f>
        <v>125852</v>
      </c>
      <c r="D80" s="41">
        <f t="shared" si="8"/>
        <v>130610</v>
      </c>
      <c r="E80" s="41">
        <f t="shared" si="8"/>
        <v>137666</v>
      </c>
      <c r="F80" s="41">
        <f t="shared" si="8"/>
        <v>144153</v>
      </c>
      <c r="G80" s="41">
        <f t="shared" si="8"/>
        <v>150082</v>
      </c>
      <c r="H80" s="41">
        <f t="shared" si="8"/>
        <v>155647</v>
      </c>
      <c r="I80" s="41"/>
      <c r="J80" s="41">
        <v>0</v>
      </c>
      <c r="K80" s="42">
        <f t="shared" si="7"/>
        <v>9.592539241559131E-2</v>
      </c>
      <c r="L80" s="42">
        <f t="shared" si="7"/>
        <v>9.5442349490148015E-2</v>
      </c>
      <c r="M80" s="42">
        <f t="shared" si="7"/>
        <v>9.5760046336688831E-2</v>
      </c>
      <c r="N80" s="42">
        <f t="shared" si="7"/>
        <v>9.5409046900588601E-2</v>
      </c>
      <c r="O80" s="42">
        <f t="shared" si="7"/>
        <v>9.5565685373682888E-2</v>
      </c>
      <c r="P80" s="42">
        <f t="shared" si="7"/>
        <v>9.5741694799345745E-2</v>
      </c>
      <c r="Q80" s="42">
        <f t="shared" si="7"/>
        <v>9.5951584973192838E-2</v>
      </c>
      <c r="R80" s="42"/>
    </row>
    <row r="81" spans="1:18" x14ac:dyDescent="0.3">
      <c r="A81" s="7"/>
      <c r="B81" s="7"/>
      <c r="C81" s="7"/>
      <c r="D81" s="7"/>
      <c r="E81" s="7"/>
      <c r="F81" s="7"/>
      <c r="G81" s="7"/>
      <c r="H81" s="7"/>
      <c r="I81" s="7"/>
      <c r="J81" s="7"/>
      <c r="K81" s="7"/>
      <c r="L81" s="7"/>
      <c r="M81" s="7"/>
      <c r="N81" s="7"/>
      <c r="O81" s="7"/>
      <c r="P81" s="7"/>
      <c r="Q81" s="7"/>
      <c r="R81" s="7"/>
    </row>
    <row r="82" spans="1:18" s="9" customFormat="1" ht="26.25" customHeight="1" x14ac:dyDescent="0.3">
      <c r="A82" s="90" t="s">
        <v>84</v>
      </c>
      <c r="B82" s="90"/>
      <c r="C82" s="90"/>
      <c r="D82" s="90"/>
      <c r="E82" s="90"/>
      <c r="F82" s="90"/>
      <c r="G82" s="90"/>
      <c r="H82" s="90"/>
      <c r="I82" s="90"/>
      <c r="J82" s="90"/>
      <c r="K82" s="90"/>
      <c r="L82" s="90"/>
      <c r="M82" s="90"/>
      <c r="N82" s="90"/>
      <c r="O82" s="90"/>
      <c r="P82" s="90"/>
      <c r="Q82" s="90"/>
    </row>
    <row r="83" spans="1:18" ht="15.75" customHeight="1" x14ac:dyDescent="0.3">
      <c r="A83" s="10"/>
      <c r="B83" s="18" t="s">
        <v>60</v>
      </c>
      <c r="C83" s="93" t="s">
        <v>61</v>
      </c>
      <c r="D83" s="93"/>
      <c r="E83" s="93"/>
      <c r="F83" s="93"/>
      <c r="G83" s="93"/>
      <c r="H83" s="93"/>
      <c r="I83" s="93"/>
      <c r="J83" s="10"/>
      <c r="K83" s="93" t="s">
        <v>75</v>
      </c>
      <c r="L83" s="93"/>
      <c r="M83" s="93"/>
      <c r="N83" s="93"/>
      <c r="O83" s="93"/>
      <c r="P83" s="93"/>
      <c r="Q83" s="93"/>
      <c r="R83" s="93"/>
    </row>
    <row r="84" spans="1:18" s="13" customFormat="1" x14ac:dyDescent="0.3">
      <c r="A84" s="48" t="s">
        <v>0</v>
      </c>
      <c r="B84" s="4">
        <v>2020</v>
      </c>
      <c r="C84" s="4">
        <v>2025</v>
      </c>
      <c r="D84" s="4">
        <v>2030</v>
      </c>
      <c r="E84" s="4">
        <v>2035</v>
      </c>
      <c r="F84" s="4">
        <v>2040</v>
      </c>
      <c r="G84" s="4">
        <v>2045</v>
      </c>
      <c r="H84" s="4">
        <v>2050</v>
      </c>
      <c r="J84"/>
      <c r="K84" s="4">
        <v>2020</v>
      </c>
      <c r="L84" s="4">
        <v>2025</v>
      </c>
      <c r="M84" s="4">
        <v>2030</v>
      </c>
      <c r="N84" s="4">
        <v>2035</v>
      </c>
      <c r="O84" s="4">
        <v>2040</v>
      </c>
      <c r="P84" s="4">
        <v>2045</v>
      </c>
      <c r="Q84" s="4">
        <v>2050</v>
      </c>
    </row>
    <row r="85" spans="1:18" s="13" customFormat="1" x14ac:dyDescent="0.3">
      <c r="A85" s="36" t="s">
        <v>18</v>
      </c>
      <c r="B85" s="37">
        <v>17518</v>
      </c>
      <c r="C85" s="37">
        <v>19903</v>
      </c>
      <c r="D85" s="37">
        <v>20174</v>
      </c>
      <c r="E85" s="37">
        <v>24379</v>
      </c>
      <c r="F85" s="37">
        <v>26571</v>
      </c>
      <c r="G85" s="37">
        <v>28710</v>
      </c>
      <c r="H85" s="37">
        <v>30955</v>
      </c>
      <c r="J85"/>
      <c r="K85" s="38">
        <f>B85/(B105+B85+B65+B45+B25)</f>
        <v>0.16418609882282373</v>
      </c>
      <c r="L85" s="38">
        <f t="shared" ref="L85:Q99" si="9">C85/(C105+C85+C65+C45+C25)</f>
        <v>0.16419178669834514</v>
      </c>
      <c r="M85" s="38">
        <f t="shared" si="9"/>
        <v>0.15230028234512538</v>
      </c>
      <c r="N85" s="38">
        <f t="shared" si="9"/>
        <v>0.16419378085494724</v>
      </c>
      <c r="O85" s="38">
        <f t="shared" si="9"/>
        <v>0.16419386134575811</v>
      </c>
      <c r="P85" s="38">
        <f t="shared" si="9"/>
        <v>0.16419224962254655</v>
      </c>
      <c r="Q85" s="38">
        <f t="shared" si="9"/>
        <v>0.16419050447936945</v>
      </c>
    </row>
    <row r="86" spans="1:18" s="13" customFormat="1" x14ac:dyDescent="0.3">
      <c r="A86" s="36" t="s">
        <v>19</v>
      </c>
      <c r="B86" s="37">
        <v>9043</v>
      </c>
      <c r="C86" s="37">
        <v>9385</v>
      </c>
      <c r="D86" s="37">
        <v>9424</v>
      </c>
      <c r="E86" s="37">
        <v>10255</v>
      </c>
      <c r="F86" s="37">
        <v>10808</v>
      </c>
      <c r="G86" s="37">
        <v>11370</v>
      </c>
      <c r="H86" s="37">
        <v>11909</v>
      </c>
      <c r="J86"/>
      <c r="K86" s="38">
        <f t="shared" ref="K86:Q100" si="10">B86/(B106+B86+B66+B46+B26)</f>
        <v>0.17556155235007476</v>
      </c>
      <c r="L86" s="38">
        <f t="shared" si="9"/>
        <v>0.17557808875252562</v>
      </c>
      <c r="M86" s="38">
        <f t="shared" si="9"/>
        <v>0.17085463577359586</v>
      </c>
      <c r="N86" s="38">
        <f t="shared" si="9"/>
        <v>0.17557225770001197</v>
      </c>
      <c r="O86" s="38">
        <f t="shared" si="9"/>
        <v>0.17556855100714749</v>
      </c>
      <c r="P86" s="38">
        <f t="shared" si="9"/>
        <v>0.17557405148319152</v>
      </c>
      <c r="Q86" s="38">
        <f t="shared" si="9"/>
        <v>0.17557386958380633</v>
      </c>
    </row>
    <row r="87" spans="1:18" s="13" customFormat="1" x14ac:dyDescent="0.3">
      <c r="A87" s="36" t="s">
        <v>44</v>
      </c>
      <c r="B87" s="37">
        <v>1337</v>
      </c>
      <c r="C87" s="37">
        <v>1353</v>
      </c>
      <c r="D87" s="37">
        <v>1355</v>
      </c>
      <c r="E87" s="37">
        <v>1398</v>
      </c>
      <c r="F87" s="37">
        <v>1421</v>
      </c>
      <c r="G87" s="37">
        <v>1447</v>
      </c>
      <c r="H87" s="37">
        <v>1479</v>
      </c>
      <c r="J87"/>
      <c r="K87" s="38">
        <f t="shared" si="10"/>
        <v>0.10406288916562889</v>
      </c>
      <c r="L87" s="38">
        <f t="shared" si="9"/>
        <v>0.10398893244178004</v>
      </c>
      <c r="M87" s="38">
        <f t="shared" si="9"/>
        <v>0.10245746691871456</v>
      </c>
      <c r="N87" s="38">
        <f t="shared" si="9"/>
        <v>0.10395597858417609</v>
      </c>
      <c r="O87" s="38">
        <f t="shared" si="9"/>
        <v>0.10404920553562276</v>
      </c>
      <c r="P87" s="38">
        <f t="shared" si="9"/>
        <v>0.10398102903133084</v>
      </c>
      <c r="Q87" s="38">
        <f t="shared" si="9"/>
        <v>0.10401575356916802</v>
      </c>
    </row>
    <row r="88" spans="1:18" s="20" customFormat="1" x14ac:dyDescent="0.3">
      <c r="A88" s="36" t="s">
        <v>20</v>
      </c>
      <c r="B88" s="37">
        <v>87361</v>
      </c>
      <c r="C88" s="37">
        <v>90031</v>
      </c>
      <c r="D88" s="37">
        <v>90332</v>
      </c>
      <c r="E88" s="37">
        <v>97399</v>
      </c>
      <c r="F88" s="37">
        <v>101401</v>
      </c>
      <c r="G88" s="37">
        <v>104823</v>
      </c>
      <c r="H88" s="37">
        <v>107779</v>
      </c>
      <c r="I88" s="37"/>
      <c r="J88" s="37"/>
      <c r="K88" s="38">
        <f t="shared" si="10"/>
        <v>0.10600969560178865</v>
      </c>
      <c r="L88" s="38">
        <f t="shared" si="9"/>
        <v>0.10600849424395459</v>
      </c>
      <c r="M88" s="38">
        <f t="shared" si="9"/>
        <v>0.1034161017812637</v>
      </c>
      <c r="N88" s="38">
        <f t="shared" si="9"/>
        <v>0.10600755556474636</v>
      </c>
      <c r="O88" s="38">
        <f t="shared" si="9"/>
        <v>0.10600755845255581</v>
      </c>
      <c r="P88" s="38">
        <f t="shared" si="9"/>
        <v>0.10600795694270557</v>
      </c>
      <c r="Q88" s="38">
        <f t="shared" si="9"/>
        <v>0.10600813411953319</v>
      </c>
      <c r="R88" s="38"/>
    </row>
    <row r="89" spans="1:18" s="19" customFormat="1" x14ac:dyDescent="0.3">
      <c r="A89" s="36" t="s">
        <v>45</v>
      </c>
      <c r="B89" s="37">
        <v>1289</v>
      </c>
      <c r="C89" s="37">
        <v>1251</v>
      </c>
      <c r="D89" s="37">
        <v>1247</v>
      </c>
      <c r="E89" s="37">
        <v>1200</v>
      </c>
      <c r="F89" s="37">
        <v>1191</v>
      </c>
      <c r="G89" s="37">
        <v>1189</v>
      </c>
      <c r="H89" s="37">
        <v>1185</v>
      </c>
      <c r="I89" s="37"/>
      <c r="J89" s="37"/>
      <c r="K89" s="38">
        <f t="shared" si="10"/>
        <v>0.16593717816683831</v>
      </c>
      <c r="L89" s="38">
        <f t="shared" si="9"/>
        <v>0.16582714740190879</v>
      </c>
      <c r="M89" s="38">
        <f t="shared" si="9"/>
        <v>0.16942934782608696</v>
      </c>
      <c r="N89" s="38">
        <f t="shared" si="9"/>
        <v>0.1659062629614268</v>
      </c>
      <c r="O89" s="38">
        <f t="shared" si="9"/>
        <v>0.16583124477861319</v>
      </c>
      <c r="P89" s="38">
        <f t="shared" si="9"/>
        <v>0.16580672151722214</v>
      </c>
      <c r="Q89" s="38">
        <f t="shared" si="9"/>
        <v>0.16598963440257739</v>
      </c>
      <c r="R89" s="38"/>
    </row>
    <row r="90" spans="1:18" x14ac:dyDescent="0.3">
      <c r="A90" s="36" t="s">
        <v>46</v>
      </c>
      <c r="B90" s="37">
        <v>2394</v>
      </c>
      <c r="C90" s="37">
        <v>2374</v>
      </c>
      <c r="D90" s="37">
        <v>2373</v>
      </c>
      <c r="E90" s="37">
        <v>2410</v>
      </c>
      <c r="F90" s="37">
        <v>2464</v>
      </c>
      <c r="G90" s="37">
        <v>2525</v>
      </c>
      <c r="H90" s="37">
        <v>2580</v>
      </c>
      <c r="I90" s="37"/>
      <c r="J90" s="37"/>
      <c r="K90" s="38">
        <f t="shared" si="10"/>
        <v>0.10175110506630398</v>
      </c>
      <c r="L90" s="38">
        <f t="shared" si="9"/>
        <v>0.10167894466335446</v>
      </c>
      <c r="M90" s="38">
        <f t="shared" si="9"/>
        <v>0.10188484822463613</v>
      </c>
      <c r="N90" s="38">
        <f t="shared" si="9"/>
        <v>0.10170063721146137</v>
      </c>
      <c r="O90" s="38">
        <f t="shared" si="9"/>
        <v>0.10174250557436618</v>
      </c>
      <c r="P90" s="38">
        <f t="shared" si="9"/>
        <v>0.10171608121173058</v>
      </c>
      <c r="Q90" s="38">
        <f t="shared" si="9"/>
        <v>0.10171095166758654</v>
      </c>
      <c r="R90" s="38"/>
    </row>
    <row r="91" spans="1:18" s="9" customFormat="1" x14ac:dyDescent="0.3">
      <c r="A91" s="36" t="s">
        <v>21</v>
      </c>
      <c r="B91" s="37">
        <v>9341</v>
      </c>
      <c r="C91" s="37">
        <v>9752</v>
      </c>
      <c r="D91" s="37">
        <v>9867</v>
      </c>
      <c r="E91" s="37">
        <v>10905</v>
      </c>
      <c r="F91" s="37">
        <v>11447</v>
      </c>
      <c r="G91" s="37">
        <v>11861</v>
      </c>
      <c r="H91" s="37">
        <v>12225</v>
      </c>
      <c r="I91" s="37"/>
      <c r="J91" s="37"/>
      <c r="K91" s="38">
        <f t="shared" si="10"/>
        <v>0.13248705765548544</v>
      </c>
      <c r="L91" s="38">
        <f t="shared" si="9"/>
        <v>0.11890797800348725</v>
      </c>
      <c r="M91" s="38">
        <f t="shared" si="9"/>
        <v>0.11305384007241312</v>
      </c>
      <c r="N91" s="38">
        <f t="shared" si="9"/>
        <v>0.1143285491125253</v>
      </c>
      <c r="O91" s="38">
        <f t="shared" si="9"/>
        <v>0.11507876667571453</v>
      </c>
      <c r="P91" s="38">
        <f t="shared" si="9"/>
        <v>0.11560541525745865</v>
      </c>
      <c r="Q91" s="38">
        <f t="shared" si="9"/>
        <v>0.11603956260915788</v>
      </c>
      <c r="R91" s="38"/>
    </row>
    <row r="92" spans="1:18" s="9" customFormat="1" ht="15.75" customHeight="1" x14ac:dyDescent="0.3">
      <c r="A92" s="36" t="s">
        <v>47</v>
      </c>
      <c r="B92" s="37">
        <v>2383</v>
      </c>
      <c r="C92" s="37">
        <v>2340</v>
      </c>
      <c r="D92" s="37">
        <v>2338</v>
      </c>
      <c r="E92" s="37">
        <v>2325</v>
      </c>
      <c r="F92" s="37">
        <v>2347</v>
      </c>
      <c r="G92" s="37">
        <v>2388</v>
      </c>
      <c r="H92" s="37">
        <v>2424</v>
      </c>
      <c r="I92" s="37"/>
      <c r="J92" s="37"/>
      <c r="K92" s="38">
        <f t="shared" si="10"/>
        <v>0.11157934166783724</v>
      </c>
      <c r="L92" s="38">
        <f t="shared" si="9"/>
        <v>0.11156138259833134</v>
      </c>
      <c r="M92" s="38">
        <f t="shared" si="9"/>
        <v>0.1122257956127298</v>
      </c>
      <c r="N92" s="38">
        <f t="shared" si="9"/>
        <v>0.11153753897817223</v>
      </c>
      <c r="O92" s="38">
        <f t="shared" si="9"/>
        <v>0.11149114056339367</v>
      </c>
      <c r="P92" s="38">
        <f t="shared" si="9"/>
        <v>0.11155229597795113</v>
      </c>
      <c r="Q92" s="38">
        <f t="shared" si="9"/>
        <v>0.11152005888847995</v>
      </c>
      <c r="R92" s="38"/>
    </row>
    <row r="93" spans="1:18" x14ac:dyDescent="0.3">
      <c r="A93" s="36" t="s">
        <v>22</v>
      </c>
      <c r="B93" s="37">
        <v>1644</v>
      </c>
      <c r="C93" s="37">
        <v>1716</v>
      </c>
      <c r="D93" s="37">
        <v>1726</v>
      </c>
      <c r="E93" s="37">
        <v>1855</v>
      </c>
      <c r="F93" s="37">
        <v>1937</v>
      </c>
      <c r="G93" s="37">
        <v>2017</v>
      </c>
      <c r="H93" s="37">
        <v>2098</v>
      </c>
      <c r="I93" s="37"/>
      <c r="J93" s="37"/>
      <c r="K93" s="38">
        <f t="shared" si="10"/>
        <v>8.4420252644551705E-2</v>
      </c>
      <c r="L93" s="38">
        <f t="shared" si="9"/>
        <v>8.439482614469089E-2</v>
      </c>
      <c r="M93" s="38">
        <f t="shared" si="9"/>
        <v>8.2206134501809872E-2</v>
      </c>
      <c r="N93" s="38">
        <f t="shared" si="9"/>
        <v>8.4410265744448487E-2</v>
      </c>
      <c r="O93" s="38">
        <f t="shared" si="9"/>
        <v>8.4393516904844895E-2</v>
      </c>
      <c r="P93" s="38">
        <f t="shared" si="9"/>
        <v>8.4410964636953342E-2</v>
      </c>
      <c r="Q93" s="38">
        <f t="shared" si="9"/>
        <v>8.438580966937495E-2</v>
      </c>
      <c r="R93" s="38"/>
    </row>
    <row r="94" spans="1:18" s="13" customFormat="1" x14ac:dyDescent="0.3">
      <c r="A94" s="36" t="s">
        <v>48</v>
      </c>
      <c r="B94" s="37">
        <v>2573</v>
      </c>
      <c r="C94" s="37">
        <v>2500</v>
      </c>
      <c r="D94" s="37">
        <v>2498</v>
      </c>
      <c r="E94" s="37">
        <v>2510</v>
      </c>
      <c r="F94" s="37">
        <v>2537</v>
      </c>
      <c r="G94" s="37">
        <v>2537</v>
      </c>
      <c r="H94" s="37">
        <v>2523</v>
      </c>
      <c r="I94" s="37"/>
      <c r="J94" s="39"/>
      <c r="K94" s="38">
        <f t="shared" si="10"/>
        <v>9.595375722543352E-2</v>
      </c>
      <c r="L94" s="38">
        <f t="shared" si="9"/>
        <v>9.5891987265544085E-2</v>
      </c>
      <c r="M94" s="38">
        <f t="shared" si="9"/>
        <v>9.6653124395434317E-2</v>
      </c>
      <c r="N94" s="38">
        <f t="shared" si="9"/>
        <v>9.5915013947800831E-2</v>
      </c>
      <c r="O94" s="38">
        <f t="shared" si="9"/>
        <v>9.5931331770400058E-2</v>
      </c>
      <c r="P94" s="38">
        <f t="shared" si="9"/>
        <v>9.5931331770400058E-2</v>
      </c>
      <c r="Q94" s="38">
        <f t="shared" si="9"/>
        <v>9.5979001027123673E-2</v>
      </c>
      <c r="R94" s="38"/>
    </row>
    <row r="95" spans="1:18" s="13" customFormat="1" x14ac:dyDescent="0.3">
      <c r="A95" s="36" t="s">
        <v>49</v>
      </c>
      <c r="B95" s="37">
        <v>1009</v>
      </c>
      <c r="C95" s="37">
        <v>1017</v>
      </c>
      <c r="D95" s="37">
        <v>1018</v>
      </c>
      <c r="E95" s="37">
        <v>1046</v>
      </c>
      <c r="F95" s="37">
        <v>1073</v>
      </c>
      <c r="G95" s="37">
        <v>1104</v>
      </c>
      <c r="H95" s="37">
        <v>1139</v>
      </c>
      <c r="I95" s="37"/>
      <c r="J95" s="39"/>
      <c r="K95" s="38">
        <f t="shared" si="10"/>
        <v>0.13474893162393162</v>
      </c>
      <c r="L95" s="38">
        <f t="shared" si="9"/>
        <v>0.13479125248508947</v>
      </c>
      <c r="M95" s="38">
        <f t="shared" si="9"/>
        <v>0.13437170010559663</v>
      </c>
      <c r="N95" s="38">
        <f t="shared" si="9"/>
        <v>0.13479381443298968</v>
      </c>
      <c r="O95" s="38">
        <f t="shared" si="9"/>
        <v>0.13471437539234149</v>
      </c>
      <c r="P95" s="38">
        <f t="shared" si="9"/>
        <v>0.1347162904209884</v>
      </c>
      <c r="Q95" s="38">
        <f t="shared" si="9"/>
        <v>0.13464948575481736</v>
      </c>
      <c r="R95" s="38"/>
    </row>
    <row r="96" spans="1:18" s="13" customFormat="1" x14ac:dyDescent="0.3">
      <c r="A96" s="36" t="s">
        <v>50</v>
      </c>
      <c r="B96" s="37">
        <v>879</v>
      </c>
      <c r="C96" s="37">
        <v>884</v>
      </c>
      <c r="D96" s="37">
        <v>883</v>
      </c>
      <c r="E96" s="37">
        <v>886</v>
      </c>
      <c r="F96" s="37">
        <v>897</v>
      </c>
      <c r="G96" s="37">
        <v>911</v>
      </c>
      <c r="H96" s="37">
        <v>927</v>
      </c>
      <c r="I96" s="37"/>
      <c r="J96" s="39"/>
      <c r="K96" s="38">
        <f t="shared" si="10"/>
        <v>0.12293706293706294</v>
      </c>
      <c r="L96" s="38">
        <f t="shared" si="9"/>
        <v>0.12277777777777778</v>
      </c>
      <c r="M96" s="38">
        <f t="shared" si="9"/>
        <v>0.12328958391510751</v>
      </c>
      <c r="N96" s="38">
        <f t="shared" si="9"/>
        <v>0.12281674521763238</v>
      </c>
      <c r="O96" s="38">
        <f t="shared" si="9"/>
        <v>0.12277580071174377</v>
      </c>
      <c r="P96" s="38">
        <f t="shared" si="9"/>
        <v>0.12272666037990031</v>
      </c>
      <c r="Q96" s="38">
        <f t="shared" si="9"/>
        <v>0.12278145695364238</v>
      </c>
      <c r="R96" s="38"/>
    </row>
    <row r="97" spans="1:18" s="13" customFormat="1" x14ac:dyDescent="0.3">
      <c r="A97" s="36" t="s">
        <v>23</v>
      </c>
      <c r="B97" s="37">
        <v>1500</v>
      </c>
      <c r="C97" s="37">
        <v>1577</v>
      </c>
      <c r="D97" s="37">
        <v>1587</v>
      </c>
      <c r="E97" s="37">
        <v>1748</v>
      </c>
      <c r="F97" s="37">
        <v>1844</v>
      </c>
      <c r="G97" s="37">
        <v>1932</v>
      </c>
      <c r="H97" s="37">
        <v>2012</v>
      </c>
      <c r="I97" s="37"/>
      <c r="J97" s="39"/>
      <c r="K97" s="38">
        <f t="shared" si="10"/>
        <v>9.3767581421516533E-2</v>
      </c>
      <c r="L97" s="38">
        <f t="shared" si="9"/>
        <v>9.3723998573636044E-2</v>
      </c>
      <c r="M97" s="38">
        <f t="shared" si="9"/>
        <v>9.0252502274795268E-2</v>
      </c>
      <c r="N97" s="38">
        <f t="shared" si="9"/>
        <v>9.3676312968917472E-2</v>
      </c>
      <c r="O97" s="38">
        <f t="shared" si="9"/>
        <v>9.371347258220257E-2</v>
      </c>
      <c r="P97" s="38">
        <f t="shared" si="9"/>
        <v>9.3713620488940635E-2</v>
      </c>
      <c r="Q97" s="38">
        <f t="shared" si="9"/>
        <v>9.3694700568128897E-2</v>
      </c>
      <c r="R97" s="38"/>
    </row>
    <row r="98" spans="1:18" s="13" customFormat="1" x14ac:dyDescent="0.3">
      <c r="A98" s="36" t="s">
        <v>51</v>
      </c>
      <c r="B98" s="37">
        <v>3033</v>
      </c>
      <c r="C98" s="37">
        <v>2958</v>
      </c>
      <c r="D98" s="37">
        <v>2953</v>
      </c>
      <c r="E98" s="37">
        <v>2886</v>
      </c>
      <c r="F98" s="37">
        <v>2883</v>
      </c>
      <c r="G98" s="37">
        <v>2882</v>
      </c>
      <c r="H98" s="37">
        <v>2880</v>
      </c>
      <c r="I98" s="37"/>
      <c r="J98" s="39"/>
      <c r="K98" s="38">
        <f t="shared" si="10"/>
        <v>9.7220886623713823E-2</v>
      </c>
      <c r="L98" s="38">
        <f t="shared" si="9"/>
        <v>9.7190734351897484E-2</v>
      </c>
      <c r="M98" s="38">
        <f t="shared" si="9"/>
        <v>9.8581205141044903E-2</v>
      </c>
      <c r="N98" s="38">
        <f t="shared" si="9"/>
        <v>9.7210994341147938E-2</v>
      </c>
      <c r="O98" s="38">
        <f t="shared" si="9"/>
        <v>9.7178683385579931E-2</v>
      </c>
      <c r="P98" s="38">
        <f t="shared" si="9"/>
        <v>9.7200674536256318E-2</v>
      </c>
      <c r="Q98" s="38">
        <f t="shared" si="9"/>
        <v>9.72250354466275E-2</v>
      </c>
      <c r="R98" s="38"/>
    </row>
    <row r="99" spans="1:18" s="13" customFormat="1" x14ac:dyDescent="0.3">
      <c r="A99" s="36" t="s">
        <v>24</v>
      </c>
      <c r="B99" s="37">
        <v>3483</v>
      </c>
      <c r="C99" s="37">
        <v>3565</v>
      </c>
      <c r="D99" s="37">
        <v>3584</v>
      </c>
      <c r="E99" s="37">
        <v>4090</v>
      </c>
      <c r="F99" s="37">
        <v>4429</v>
      </c>
      <c r="G99" s="37">
        <v>4800</v>
      </c>
      <c r="H99" s="37">
        <v>5164</v>
      </c>
      <c r="I99" s="37"/>
      <c r="J99" s="39"/>
      <c r="K99" s="38">
        <f t="shared" si="10"/>
        <v>9.0606383808953986E-2</v>
      </c>
      <c r="L99" s="38">
        <f t="shared" si="9"/>
        <v>9.0560382055580951E-2</v>
      </c>
      <c r="M99" s="38">
        <f t="shared" si="9"/>
        <v>8.5895745955662073E-2</v>
      </c>
      <c r="N99" s="38">
        <f t="shared" si="9"/>
        <v>9.0584926136741156E-2</v>
      </c>
      <c r="O99" s="38">
        <f t="shared" si="9"/>
        <v>9.0583711702867428E-2</v>
      </c>
      <c r="P99" s="38">
        <f t="shared" si="9"/>
        <v>9.0578000868039174E-2</v>
      </c>
      <c r="Q99" s="38">
        <f t="shared" si="9"/>
        <v>9.0580599894755309E-2</v>
      </c>
      <c r="R99" s="38"/>
    </row>
    <row r="100" spans="1:18" s="13" customFormat="1" x14ac:dyDescent="0.3">
      <c r="A100" s="40" t="s">
        <v>86</v>
      </c>
      <c r="B100" s="41">
        <f>SUM(B85:B99)</f>
        <v>144787</v>
      </c>
      <c r="C100" s="41">
        <f t="shared" ref="C100:H100" si="11">SUM(C85:C99)</f>
        <v>150606</v>
      </c>
      <c r="D100" s="41">
        <f t="shared" si="11"/>
        <v>151359</v>
      </c>
      <c r="E100" s="41">
        <f t="shared" si="11"/>
        <v>165292</v>
      </c>
      <c r="F100" s="41">
        <f t="shared" si="11"/>
        <v>173250</v>
      </c>
      <c r="G100" s="41">
        <f t="shared" si="11"/>
        <v>180496</v>
      </c>
      <c r="H100" s="41">
        <f t="shared" si="11"/>
        <v>187279</v>
      </c>
      <c r="I100" s="41"/>
      <c r="J100" s="41">
        <v>0</v>
      </c>
      <c r="K100" s="42">
        <f t="shared" si="10"/>
        <v>0.11446897596410031</v>
      </c>
      <c r="L100" s="42">
        <f t="shared" si="10"/>
        <v>0.11421503422522672</v>
      </c>
      <c r="M100" s="42">
        <f t="shared" si="10"/>
        <v>0.11097270387776499</v>
      </c>
      <c r="N100" s="42">
        <f t="shared" si="10"/>
        <v>0.11455517106832545</v>
      </c>
      <c r="O100" s="42">
        <f t="shared" si="10"/>
        <v>0.11485543131943533</v>
      </c>
      <c r="P100" s="42">
        <f t="shared" si="10"/>
        <v>0.1151436744213344</v>
      </c>
      <c r="Q100" s="42">
        <f t="shared" si="10"/>
        <v>0.11545173939873291</v>
      </c>
      <c r="R100" s="42"/>
    </row>
    <row r="101" spans="1:18" x14ac:dyDescent="0.3">
      <c r="A101" s="7"/>
      <c r="B101" s="7"/>
      <c r="C101" s="7"/>
      <c r="D101" s="7"/>
      <c r="E101" s="7"/>
      <c r="F101" s="7"/>
      <c r="G101" s="7"/>
      <c r="H101" s="7"/>
      <c r="I101" s="7"/>
      <c r="J101" s="7"/>
      <c r="K101" s="7"/>
      <c r="L101" s="7"/>
      <c r="M101" s="7"/>
      <c r="N101" s="7"/>
      <c r="O101" s="7"/>
      <c r="P101" s="7"/>
      <c r="Q101" s="7"/>
      <c r="R101" s="7"/>
    </row>
    <row r="102" spans="1:18" s="9" customFormat="1" ht="26.25" customHeight="1" x14ac:dyDescent="0.3">
      <c r="A102" s="90" t="s">
        <v>85</v>
      </c>
      <c r="B102" s="90"/>
      <c r="C102" s="90"/>
      <c r="D102" s="90"/>
      <c r="E102" s="90"/>
      <c r="F102" s="90"/>
      <c r="G102" s="90"/>
      <c r="H102" s="90"/>
      <c r="I102" s="90"/>
      <c r="J102" s="90"/>
      <c r="K102" s="90"/>
      <c r="L102" s="90"/>
      <c r="M102" s="90"/>
      <c r="N102" s="90"/>
      <c r="O102" s="90"/>
      <c r="P102" s="90"/>
      <c r="Q102" s="90"/>
      <c r="R102" s="49"/>
    </row>
    <row r="103" spans="1:18" ht="15.75" customHeight="1" x14ac:dyDescent="0.3">
      <c r="A103" s="10"/>
      <c r="B103" s="18" t="s">
        <v>60</v>
      </c>
      <c r="C103" s="93" t="s">
        <v>61</v>
      </c>
      <c r="D103" s="93"/>
      <c r="E103" s="93"/>
      <c r="F103" s="93"/>
      <c r="G103" s="93"/>
      <c r="H103" s="93"/>
      <c r="I103" s="93"/>
      <c r="J103" s="10"/>
      <c r="K103" s="93" t="s">
        <v>75</v>
      </c>
      <c r="L103" s="93"/>
      <c r="M103" s="93"/>
      <c r="N103" s="93"/>
      <c r="O103" s="93"/>
      <c r="P103" s="93"/>
      <c r="Q103" s="93"/>
      <c r="R103" s="93"/>
    </row>
    <row r="104" spans="1:18" s="13" customFormat="1" x14ac:dyDescent="0.3">
      <c r="A104" s="48" t="s">
        <v>0</v>
      </c>
      <c r="B104" s="4">
        <v>2020</v>
      </c>
      <c r="C104" s="4">
        <v>2025</v>
      </c>
      <c r="D104" s="4">
        <v>2030</v>
      </c>
      <c r="E104" s="4">
        <v>2035</v>
      </c>
      <c r="F104" s="4">
        <v>2040</v>
      </c>
      <c r="G104" s="4">
        <v>2045</v>
      </c>
      <c r="H104" s="4">
        <v>2050</v>
      </c>
      <c r="J104" s="7"/>
      <c r="K104" s="4">
        <v>2020</v>
      </c>
      <c r="L104" s="4">
        <v>2025</v>
      </c>
      <c r="M104" s="4">
        <v>2030</v>
      </c>
      <c r="N104" s="4">
        <v>2035</v>
      </c>
      <c r="O104" s="4">
        <v>2040</v>
      </c>
      <c r="P104" s="4">
        <v>2045</v>
      </c>
      <c r="Q104" s="4">
        <v>2050</v>
      </c>
    </row>
    <row r="105" spans="1:18" s="13" customFormat="1" x14ac:dyDescent="0.3">
      <c r="A105" s="36" t="s">
        <v>18</v>
      </c>
      <c r="B105" s="37">
        <v>11835</v>
      </c>
      <c r="C105" s="37">
        <v>13444</v>
      </c>
      <c r="D105" s="37">
        <v>14900</v>
      </c>
      <c r="E105" s="37">
        <v>16467</v>
      </c>
      <c r="F105" s="37">
        <v>17948</v>
      </c>
      <c r="G105" s="37">
        <v>19393</v>
      </c>
      <c r="H105" s="37">
        <v>20909</v>
      </c>
      <c r="J105" s="7"/>
      <c r="K105" s="38">
        <f t="shared" ref="K105:Q120" si="12">B105/(B105+B85+B65+B45+B25)</f>
        <v>0.11092262127914823</v>
      </c>
      <c r="L105" s="38">
        <f t="shared" si="12"/>
        <v>0.11090762098038245</v>
      </c>
      <c r="M105" s="38">
        <f t="shared" si="12"/>
        <v>0.1124850900635654</v>
      </c>
      <c r="N105" s="38">
        <f t="shared" si="12"/>
        <v>0.11090606625942065</v>
      </c>
      <c r="O105" s="38">
        <f t="shared" si="12"/>
        <v>0.11090856284797963</v>
      </c>
      <c r="P105" s="38">
        <f t="shared" si="12"/>
        <v>0.11090840463009562</v>
      </c>
      <c r="Q105" s="38">
        <f t="shared" si="12"/>
        <v>0.11090483793116251</v>
      </c>
    </row>
    <row r="106" spans="1:18" s="13" customFormat="1" x14ac:dyDescent="0.3">
      <c r="A106" s="36" t="s">
        <v>19</v>
      </c>
      <c r="B106" s="37">
        <v>8328</v>
      </c>
      <c r="C106" s="37">
        <v>8642</v>
      </c>
      <c r="D106" s="37">
        <v>8969</v>
      </c>
      <c r="E106" s="37">
        <v>9443</v>
      </c>
      <c r="F106" s="37">
        <v>9952</v>
      </c>
      <c r="G106" s="37">
        <v>10469</v>
      </c>
      <c r="H106" s="37">
        <v>10966</v>
      </c>
      <c r="J106" s="7"/>
      <c r="K106" s="38">
        <f t="shared" si="12"/>
        <v>0.16168048302238444</v>
      </c>
      <c r="L106" s="38">
        <f t="shared" si="12"/>
        <v>0.16167776696849509</v>
      </c>
      <c r="M106" s="38">
        <f t="shared" si="12"/>
        <v>0.16260560571449292</v>
      </c>
      <c r="N106" s="38">
        <f t="shared" si="12"/>
        <v>0.16167029053741719</v>
      </c>
      <c r="O106" s="38">
        <f t="shared" si="12"/>
        <v>0.16166341780376869</v>
      </c>
      <c r="P106" s="38">
        <f t="shared" si="12"/>
        <v>0.16166092743865718</v>
      </c>
      <c r="Q106" s="38">
        <f t="shared" si="12"/>
        <v>0.16167126155479219</v>
      </c>
    </row>
    <row r="107" spans="1:18" s="13" customFormat="1" x14ac:dyDescent="0.3">
      <c r="A107" s="36" t="s">
        <v>44</v>
      </c>
      <c r="B107" s="37">
        <v>1721</v>
      </c>
      <c r="C107" s="37">
        <v>1743</v>
      </c>
      <c r="D107" s="37">
        <v>1774</v>
      </c>
      <c r="E107" s="37">
        <v>1801</v>
      </c>
      <c r="F107" s="37">
        <v>1829</v>
      </c>
      <c r="G107" s="37">
        <v>1865</v>
      </c>
      <c r="H107" s="37">
        <v>1905</v>
      </c>
      <c r="J107" s="7"/>
      <c r="K107" s="38">
        <f t="shared" si="12"/>
        <v>0.1339508094645081</v>
      </c>
      <c r="L107" s="38">
        <f t="shared" si="12"/>
        <v>0.13396356928752595</v>
      </c>
      <c r="M107" s="38">
        <f t="shared" si="12"/>
        <v>0.13413988657844991</v>
      </c>
      <c r="N107" s="38">
        <f t="shared" si="12"/>
        <v>0.13392325996430696</v>
      </c>
      <c r="O107" s="38">
        <f t="shared" si="12"/>
        <v>0.13392399502086841</v>
      </c>
      <c r="P107" s="38">
        <f t="shared" si="12"/>
        <v>0.13401839609083069</v>
      </c>
      <c r="Q107" s="38">
        <f t="shared" si="12"/>
        <v>0.13397566636191013</v>
      </c>
    </row>
    <row r="108" spans="1:18" s="20" customFormat="1" x14ac:dyDescent="0.3">
      <c r="A108" s="36" t="s">
        <v>20</v>
      </c>
      <c r="B108" s="37">
        <v>143647</v>
      </c>
      <c r="C108" s="37">
        <v>148040</v>
      </c>
      <c r="D108" s="37">
        <v>152699</v>
      </c>
      <c r="E108" s="37">
        <v>160157</v>
      </c>
      <c r="F108" s="37">
        <v>166737</v>
      </c>
      <c r="G108" s="37">
        <v>172363</v>
      </c>
      <c r="H108" s="37">
        <v>177223</v>
      </c>
      <c r="I108" s="37"/>
      <c r="J108" s="37"/>
      <c r="K108" s="38">
        <f t="shared" si="12"/>
        <v>0.17431090239477723</v>
      </c>
      <c r="L108" s="38">
        <f t="shared" si="12"/>
        <v>0.17431215345686527</v>
      </c>
      <c r="M108" s="38">
        <f t="shared" si="12"/>
        <v>0.1748166245173049</v>
      </c>
      <c r="N108" s="38">
        <f t="shared" si="12"/>
        <v>0.17431238592370643</v>
      </c>
      <c r="O108" s="38">
        <f t="shared" si="12"/>
        <v>0.1743117156014615</v>
      </c>
      <c r="P108" s="38">
        <f t="shared" si="12"/>
        <v>0.17431145342640031</v>
      </c>
      <c r="Q108" s="38">
        <f t="shared" si="12"/>
        <v>0.1743111325310685</v>
      </c>
      <c r="R108" s="38"/>
    </row>
    <row r="109" spans="1:18" s="19" customFormat="1" x14ac:dyDescent="0.3">
      <c r="A109" s="36" t="s">
        <v>45</v>
      </c>
      <c r="B109" s="37">
        <v>1410</v>
      </c>
      <c r="C109" s="37">
        <v>1369</v>
      </c>
      <c r="D109" s="37">
        <v>1329</v>
      </c>
      <c r="E109" s="37">
        <v>1313</v>
      </c>
      <c r="F109" s="37">
        <v>1303</v>
      </c>
      <c r="G109" s="37">
        <v>1301</v>
      </c>
      <c r="H109" s="37">
        <v>1295</v>
      </c>
      <c r="I109" s="37"/>
      <c r="J109" s="37"/>
      <c r="K109" s="38">
        <f t="shared" si="12"/>
        <v>0.18151390319258495</v>
      </c>
      <c r="L109" s="38">
        <f t="shared" si="12"/>
        <v>0.18146871686108165</v>
      </c>
      <c r="M109" s="38">
        <f t="shared" si="12"/>
        <v>0.18057065217391305</v>
      </c>
      <c r="N109" s="38">
        <f t="shared" si="12"/>
        <v>0.18152910272362782</v>
      </c>
      <c r="O109" s="38">
        <f t="shared" si="12"/>
        <v>0.18142578668894457</v>
      </c>
      <c r="P109" s="38">
        <f t="shared" si="12"/>
        <v>0.18142518477199832</v>
      </c>
      <c r="Q109" s="38">
        <f t="shared" si="12"/>
        <v>0.18139795489564364</v>
      </c>
      <c r="R109" s="38"/>
    </row>
    <row r="110" spans="1:18" x14ac:dyDescent="0.3">
      <c r="A110" s="36" t="s">
        <v>46</v>
      </c>
      <c r="B110" s="37">
        <v>5376</v>
      </c>
      <c r="C110" s="37">
        <v>5335</v>
      </c>
      <c r="D110" s="37">
        <v>5320</v>
      </c>
      <c r="E110" s="37">
        <v>5415</v>
      </c>
      <c r="F110" s="37">
        <v>5534</v>
      </c>
      <c r="G110" s="37">
        <v>5672</v>
      </c>
      <c r="H110" s="37">
        <v>5796</v>
      </c>
      <c r="I110" s="37"/>
      <c r="J110" s="37"/>
      <c r="K110" s="38">
        <f t="shared" si="12"/>
        <v>0.22849370962257737</v>
      </c>
      <c r="L110" s="38">
        <f t="shared" si="12"/>
        <v>0.22849922905602194</v>
      </c>
      <c r="M110" s="38">
        <f t="shared" si="12"/>
        <v>0.22841440899918422</v>
      </c>
      <c r="N110" s="38">
        <f t="shared" si="12"/>
        <v>0.22850993796683125</v>
      </c>
      <c r="O110" s="38">
        <f t="shared" si="12"/>
        <v>0.2285077215294409</v>
      </c>
      <c r="P110" s="38">
        <f t="shared" si="12"/>
        <v>0.22848855945858845</v>
      </c>
      <c r="Q110" s="38">
        <f t="shared" si="12"/>
        <v>0.22849483560671766</v>
      </c>
      <c r="R110" s="38"/>
    </row>
    <row r="111" spans="1:18" s="9" customFormat="1" x14ac:dyDescent="0.3">
      <c r="A111" s="36" t="s">
        <v>21</v>
      </c>
      <c r="B111" s="37">
        <v>11009</v>
      </c>
      <c r="C111" s="37">
        <v>11346</v>
      </c>
      <c r="D111" s="37">
        <v>11719</v>
      </c>
      <c r="E111" s="37">
        <v>12622</v>
      </c>
      <c r="F111" s="37">
        <v>13260</v>
      </c>
      <c r="G111" s="37">
        <v>13748</v>
      </c>
      <c r="H111" s="37">
        <v>14180</v>
      </c>
      <c r="I111" s="37"/>
      <c r="J111" s="37"/>
      <c r="K111" s="38">
        <f t="shared" si="12"/>
        <v>0.15614495425856323</v>
      </c>
      <c r="L111" s="38">
        <f t="shared" si="12"/>
        <v>0.13834392108568153</v>
      </c>
      <c r="M111" s="38">
        <f t="shared" si="12"/>
        <v>0.13427363451997662</v>
      </c>
      <c r="N111" s="38">
        <f t="shared" si="12"/>
        <v>0.13232966042166844</v>
      </c>
      <c r="O111" s="38">
        <f t="shared" si="12"/>
        <v>0.13330518442561148</v>
      </c>
      <c r="P111" s="38">
        <f t="shared" si="12"/>
        <v>0.13399740738213822</v>
      </c>
      <c r="Q111" s="38">
        <f t="shared" si="12"/>
        <v>0.13459640063786166</v>
      </c>
      <c r="R111" s="38"/>
    </row>
    <row r="112" spans="1:18" s="9" customFormat="1" ht="15.75" customHeight="1" x14ac:dyDescent="0.3">
      <c r="A112" s="36" t="s">
        <v>47</v>
      </c>
      <c r="B112" s="37">
        <v>3063</v>
      </c>
      <c r="C112" s="37">
        <v>3008</v>
      </c>
      <c r="D112" s="37">
        <v>2985</v>
      </c>
      <c r="E112" s="37">
        <v>2991</v>
      </c>
      <c r="F112" s="37">
        <v>3020</v>
      </c>
      <c r="G112" s="37">
        <v>3071</v>
      </c>
      <c r="H112" s="37">
        <v>3119</v>
      </c>
      <c r="I112" s="37"/>
      <c r="J112" s="37"/>
      <c r="K112" s="38">
        <f t="shared" si="12"/>
        <v>0.14341901952521421</v>
      </c>
      <c r="L112" s="38">
        <f t="shared" si="12"/>
        <v>0.1434088200238379</v>
      </c>
      <c r="M112" s="38">
        <f t="shared" si="12"/>
        <v>0.14328229251668026</v>
      </c>
      <c r="N112" s="38">
        <f t="shared" si="12"/>
        <v>0.14348764691772609</v>
      </c>
      <c r="O112" s="38">
        <f t="shared" si="12"/>
        <v>0.14346111823666335</v>
      </c>
      <c r="P112" s="38">
        <f t="shared" si="12"/>
        <v>0.14345774746578221</v>
      </c>
      <c r="Q112" s="38">
        <f t="shared" si="12"/>
        <v>0.14349466323150534</v>
      </c>
      <c r="R112" s="38"/>
    </row>
    <row r="113" spans="1:18" x14ac:dyDescent="0.3">
      <c r="A113" s="36" t="s">
        <v>22</v>
      </c>
      <c r="B113" s="37">
        <v>1987</v>
      </c>
      <c r="C113" s="37">
        <v>2073</v>
      </c>
      <c r="D113" s="37">
        <v>2147</v>
      </c>
      <c r="E113" s="37">
        <v>2241</v>
      </c>
      <c r="F113" s="37">
        <v>2341</v>
      </c>
      <c r="G113" s="37">
        <v>2438</v>
      </c>
      <c r="H113" s="37">
        <v>2536</v>
      </c>
      <c r="I113" s="37"/>
      <c r="J113" s="37"/>
      <c r="K113" s="38">
        <f t="shared" si="12"/>
        <v>0.10203348053815343</v>
      </c>
      <c r="L113" s="38">
        <f t="shared" si="12"/>
        <v>0.10195249102444302</v>
      </c>
      <c r="M113" s="38">
        <f t="shared" si="12"/>
        <v>0.10225757287102305</v>
      </c>
      <c r="N113" s="38">
        <f t="shared" si="12"/>
        <v>0.10197488168911539</v>
      </c>
      <c r="O113" s="38">
        <f t="shared" si="12"/>
        <v>0.10199546880446149</v>
      </c>
      <c r="P113" s="38">
        <f t="shared" si="12"/>
        <v>0.10202971332914836</v>
      </c>
      <c r="Q113" s="38">
        <f t="shared" si="12"/>
        <v>0.10200305687394418</v>
      </c>
      <c r="R113" s="38"/>
    </row>
    <row r="114" spans="1:18" s="13" customFormat="1" x14ac:dyDescent="0.3">
      <c r="A114" s="36" t="s">
        <v>48</v>
      </c>
      <c r="B114" s="37">
        <v>4508</v>
      </c>
      <c r="C114" s="37">
        <v>4383</v>
      </c>
      <c r="D114" s="37">
        <v>4341</v>
      </c>
      <c r="E114" s="37">
        <v>4400</v>
      </c>
      <c r="F114" s="37">
        <v>4446</v>
      </c>
      <c r="G114" s="37">
        <v>4446</v>
      </c>
      <c r="H114" s="37">
        <v>4420</v>
      </c>
      <c r="I114" s="37"/>
      <c r="J114" s="39"/>
      <c r="K114" s="38">
        <f t="shared" si="12"/>
        <v>0.16811486108521351</v>
      </c>
      <c r="L114" s="38">
        <f t="shared" si="12"/>
        <v>0.16811783207395189</v>
      </c>
      <c r="M114" s="38">
        <f t="shared" si="12"/>
        <v>0.16796285548461984</v>
      </c>
      <c r="N114" s="38">
        <f t="shared" si="12"/>
        <v>0.16813787305590586</v>
      </c>
      <c r="O114" s="38">
        <f t="shared" si="12"/>
        <v>0.16811616123421311</v>
      </c>
      <c r="P114" s="38">
        <f t="shared" si="12"/>
        <v>0.16811616123421311</v>
      </c>
      <c r="Q114" s="38">
        <f t="shared" si="12"/>
        <v>0.16814394948073191</v>
      </c>
      <c r="R114" s="38"/>
    </row>
    <row r="115" spans="1:18" s="13" customFormat="1" x14ac:dyDescent="0.3">
      <c r="A115" s="36" t="s">
        <v>49</v>
      </c>
      <c r="B115" s="37">
        <v>1230</v>
      </c>
      <c r="C115" s="37">
        <v>1238</v>
      </c>
      <c r="D115" s="37">
        <v>1243</v>
      </c>
      <c r="E115" s="37">
        <v>1274</v>
      </c>
      <c r="F115" s="37">
        <v>1307</v>
      </c>
      <c r="G115" s="37">
        <v>1345</v>
      </c>
      <c r="H115" s="37">
        <v>1388</v>
      </c>
      <c r="I115" s="37"/>
      <c r="J115" s="39"/>
      <c r="K115" s="38">
        <f t="shared" si="12"/>
        <v>0.16426282051282051</v>
      </c>
      <c r="L115" s="38">
        <f t="shared" si="12"/>
        <v>0.16408217362491717</v>
      </c>
      <c r="M115" s="38">
        <f t="shared" si="12"/>
        <v>0.16407074973600844</v>
      </c>
      <c r="N115" s="38">
        <f t="shared" si="12"/>
        <v>0.16417525773195876</v>
      </c>
      <c r="O115" s="38">
        <f t="shared" si="12"/>
        <v>0.16409290646578784</v>
      </c>
      <c r="P115" s="38">
        <f t="shared" si="12"/>
        <v>0.16412446613788895</v>
      </c>
      <c r="Q115" s="38">
        <f t="shared" si="12"/>
        <v>0.16408558931315759</v>
      </c>
      <c r="R115" s="38"/>
    </row>
    <row r="116" spans="1:18" s="13" customFormat="1" x14ac:dyDescent="0.3">
      <c r="A116" s="36" t="s">
        <v>50</v>
      </c>
      <c r="B116" s="37">
        <v>1328</v>
      </c>
      <c r="C116" s="37">
        <v>1336</v>
      </c>
      <c r="D116" s="37">
        <v>1329</v>
      </c>
      <c r="E116" s="37">
        <v>1340</v>
      </c>
      <c r="F116" s="37">
        <v>1357</v>
      </c>
      <c r="G116" s="37">
        <v>1378</v>
      </c>
      <c r="H116" s="37">
        <v>1402</v>
      </c>
      <c r="I116" s="37"/>
      <c r="J116" s="39"/>
      <c r="K116" s="38">
        <f t="shared" si="12"/>
        <v>0.18573426573426574</v>
      </c>
      <c r="L116" s="38">
        <f t="shared" si="12"/>
        <v>0.18555555555555556</v>
      </c>
      <c r="M116" s="38">
        <f t="shared" si="12"/>
        <v>0.18556269198547892</v>
      </c>
      <c r="N116" s="38">
        <f t="shared" si="12"/>
        <v>0.18574993069032436</v>
      </c>
      <c r="O116" s="38">
        <f t="shared" si="12"/>
        <v>0.18573774979468929</v>
      </c>
      <c r="P116" s="38">
        <f t="shared" si="12"/>
        <v>0.18563922942206654</v>
      </c>
      <c r="Q116" s="38">
        <f t="shared" si="12"/>
        <v>0.1856953642384106</v>
      </c>
      <c r="R116" s="38"/>
    </row>
    <row r="117" spans="1:18" s="13" customFormat="1" x14ac:dyDescent="0.3">
      <c r="A117" s="36" t="s">
        <v>23</v>
      </c>
      <c r="B117" s="37">
        <v>2554</v>
      </c>
      <c r="C117" s="37">
        <v>2687</v>
      </c>
      <c r="D117" s="37">
        <v>2819</v>
      </c>
      <c r="E117" s="37">
        <v>2981</v>
      </c>
      <c r="F117" s="37">
        <v>3142</v>
      </c>
      <c r="G117" s="37">
        <v>3293</v>
      </c>
      <c r="H117" s="37">
        <v>3429</v>
      </c>
      <c r="I117" s="37"/>
      <c r="J117" s="39"/>
      <c r="K117" s="38">
        <f t="shared" si="12"/>
        <v>0.15965493530036881</v>
      </c>
      <c r="L117" s="38">
        <f t="shared" si="12"/>
        <v>0.15969333174848449</v>
      </c>
      <c r="M117" s="38">
        <f t="shared" si="12"/>
        <v>0.16031619654231119</v>
      </c>
      <c r="N117" s="38">
        <f t="shared" si="12"/>
        <v>0.15975348338692391</v>
      </c>
      <c r="O117" s="38">
        <f t="shared" si="12"/>
        <v>0.15967881282715862</v>
      </c>
      <c r="P117" s="38">
        <f t="shared" si="12"/>
        <v>0.15973030655801318</v>
      </c>
      <c r="Q117" s="38">
        <f t="shared" si="12"/>
        <v>0.15968147527242246</v>
      </c>
      <c r="R117" s="38"/>
    </row>
    <row r="118" spans="1:18" s="13" customFormat="1" x14ac:dyDescent="0.3">
      <c r="A118" s="36" t="s">
        <v>51</v>
      </c>
      <c r="B118" s="37">
        <v>6205</v>
      </c>
      <c r="C118" s="37">
        <v>6053</v>
      </c>
      <c r="D118" s="37">
        <v>5949</v>
      </c>
      <c r="E118" s="37">
        <v>5905</v>
      </c>
      <c r="F118" s="37">
        <v>5902</v>
      </c>
      <c r="G118" s="37">
        <v>5897</v>
      </c>
      <c r="H118" s="37">
        <v>5892</v>
      </c>
      <c r="I118" s="37"/>
      <c r="J118" s="39"/>
      <c r="K118" s="38">
        <f t="shared" si="12"/>
        <v>0.198897329871462</v>
      </c>
      <c r="L118" s="38">
        <f t="shared" si="12"/>
        <v>0.19888286512239198</v>
      </c>
      <c r="M118" s="38">
        <f t="shared" si="12"/>
        <v>0.19859789684526791</v>
      </c>
      <c r="N118" s="38">
        <f t="shared" si="12"/>
        <v>0.19890191323093506</v>
      </c>
      <c r="O118" s="38">
        <f t="shared" si="12"/>
        <v>0.19894158492601208</v>
      </c>
      <c r="P118" s="38">
        <f t="shared" si="12"/>
        <v>0.19888701517706578</v>
      </c>
      <c r="Q118" s="38">
        <f t="shared" si="12"/>
        <v>0.19890621835122543</v>
      </c>
      <c r="R118" s="38"/>
    </row>
    <row r="119" spans="1:18" s="13" customFormat="1" x14ac:dyDescent="0.3">
      <c r="A119" s="36" t="s">
        <v>24</v>
      </c>
      <c r="B119" s="37">
        <v>3980</v>
      </c>
      <c r="C119" s="37">
        <v>4076</v>
      </c>
      <c r="D119" s="37">
        <v>4343</v>
      </c>
      <c r="E119" s="37">
        <v>4675</v>
      </c>
      <c r="F119" s="37">
        <v>5063</v>
      </c>
      <c r="G119" s="37">
        <v>5488</v>
      </c>
      <c r="H119" s="37">
        <v>5903</v>
      </c>
      <c r="I119" s="37"/>
      <c r="J119" s="39"/>
      <c r="K119" s="38">
        <f t="shared" si="12"/>
        <v>0.10353528784370854</v>
      </c>
      <c r="L119" s="38">
        <f t="shared" si="12"/>
        <v>0.10354112686074278</v>
      </c>
      <c r="M119" s="38">
        <f t="shared" si="12"/>
        <v>0.10408627920910725</v>
      </c>
      <c r="N119" s="38">
        <f t="shared" si="12"/>
        <v>0.10354144980177626</v>
      </c>
      <c r="O119" s="38">
        <f t="shared" si="12"/>
        <v>0.10355053789831063</v>
      </c>
      <c r="P119" s="38">
        <f t="shared" si="12"/>
        <v>0.10356084765912479</v>
      </c>
      <c r="Q119" s="38">
        <f t="shared" si="12"/>
        <v>0.10354323802841607</v>
      </c>
      <c r="R119" s="38"/>
    </row>
    <row r="120" spans="1:18" s="13" customFormat="1" x14ac:dyDescent="0.3">
      <c r="A120" s="40" t="s">
        <v>86</v>
      </c>
      <c r="B120" s="41">
        <f>SUM(B105:B119)</f>
        <v>208181</v>
      </c>
      <c r="C120" s="41">
        <f t="shared" ref="C120:H120" si="13">SUM(C105:C119)</f>
        <v>214773</v>
      </c>
      <c r="D120" s="41">
        <f t="shared" si="13"/>
        <v>221866</v>
      </c>
      <c r="E120" s="41">
        <f t="shared" si="13"/>
        <v>233025</v>
      </c>
      <c r="F120" s="41">
        <f t="shared" si="13"/>
        <v>243141</v>
      </c>
      <c r="G120" s="41">
        <f t="shared" si="13"/>
        <v>252167</v>
      </c>
      <c r="H120" s="41">
        <f t="shared" si="13"/>
        <v>260363</v>
      </c>
      <c r="I120" s="41"/>
      <c r="J120" s="41">
        <v>0</v>
      </c>
      <c r="K120" s="42">
        <f t="shared" si="12"/>
        <v>0.16458843601416126</v>
      </c>
      <c r="L120" s="42">
        <f t="shared" si="12"/>
        <v>0.16287734582722213</v>
      </c>
      <c r="M120" s="42">
        <f t="shared" si="12"/>
        <v>0.16266670576935766</v>
      </c>
      <c r="N120" s="42">
        <f t="shared" si="12"/>
        <v>0.1614973425102034</v>
      </c>
      <c r="O120" s="42">
        <f t="shared" si="12"/>
        <v>0.16118940505880996</v>
      </c>
      <c r="P120" s="42">
        <f t="shared" si="12"/>
        <v>0.160864700313606</v>
      </c>
      <c r="Q120" s="42">
        <f t="shared" si="12"/>
        <v>0.16050577600837412</v>
      </c>
      <c r="R120" s="42"/>
    </row>
    <row r="121" spans="1:18" x14ac:dyDescent="0.3">
      <c r="A121" s="7"/>
      <c r="B121" s="7"/>
      <c r="C121" s="7"/>
      <c r="D121" s="7"/>
      <c r="E121" s="7"/>
      <c r="F121" s="7"/>
      <c r="G121" s="7"/>
      <c r="H121" s="7"/>
      <c r="I121" s="7"/>
      <c r="J121" s="7"/>
      <c r="K121" s="7"/>
      <c r="L121" s="7"/>
      <c r="M121" s="7"/>
      <c r="N121" s="7"/>
      <c r="O121" s="7"/>
      <c r="P121" s="7"/>
      <c r="Q121" s="7"/>
      <c r="R121" s="7"/>
    </row>
    <row r="122" spans="1:18" x14ac:dyDescent="0.3">
      <c r="A122" s="21"/>
    </row>
    <row r="123" spans="1:18" x14ac:dyDescent="0.3">
      <c r="B123" s="50" t="s">
        <v>137</v>
      </c>
    </row>
  </sheetData>
  <mergeCells count="19">
    <mergeCell ref="A102:Q102"/>
    <mergeCell ref="C103:I103"/>
    <mergeCell ref="K103:R103"/>
    <mergeCell ref="A62:Q62"/>
    <mergeCell ref="C63:I63"/>
    <mergeCell ref="K63:R63"/>
    <mergeCell ref="A82:Q82"/>
    <mergeCell ref="C83:I83"/>
    <mergeCell ref="K83:R83"/>
    <mergeCell ref="C23:I23"/>
    <mergeCell ref="K23:R23"/>
    <mergeCell ref="A42:Q42"/>
    <mergeCell ref="C43:I43"/>
    <mergeCell ref="C1:R1"/>
    <mergeCell ref="A2:R2"/>
    <mergeCell ref="K3:R3"/>
    <mergeCell ref="A22:Q22"/>
    <mergeCell ref="C3:H3"/>
    <mergeCell ref="K43:R43"/>
  </mergeCells>
  <pageMargins left="0.7" right="0.7" top="0.75" bottom="0.75" header="0.3" footer="0.3"/>
  <pageSetup orientation="portrait" horizontalDpi="1200" verticalDpi="1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9CE77-0C18-4136-A981-7BE765B38144}">
  <dimension ref="A1:R358"/>
  <sheetViews>
    <sheetView zoomScaleNormal="100" workbookViewId="0">
      <pane ySplit="1" topLeftCell="A2" activePane="bottomLeft" state="frozen"/>
      <selection pane="bottomLeft"/>
    </sheetView>
  </sheetViews>
  <sheetFormatPr defaultRowHeight="14.4" x14ac:dyDescent="0.3"/>
  <cols>
    <col min="1" max="1" width="16.6640625" bestFit="1" customWidth="1"/>
    <col min="2" max="2" width="42.88671875" customWidth="1"/>
    <col min="3" max="3" width="34.6640625" bestFit="1" customWidth="1"/>
    <col min="4" max="10" width="12.6640625" bestFit="1" customWidth="1"/>
    <col min="13" max="15" width="10.5546875" bestFit="1" customWidth="1"/>
  </cols>
  <sheetData>
    <row r="1" spans="1:10" s="1" customFormat="1" x14ac:dyDescent="0.3">
      <c r="A1" s="1" t="s">
        <v>0</v>
      </c>
      <c r="B1" s="1" t="s">
        <v>1</v>
      </c>
      <c r="C1" s="1" t="s">
        <v>2</v>
      </c>
      <c r="D1" s="1">
        <v>2020</v>
      </c>
      <c r="E1" s="1">
        <v>2025</v>
      </c>
      <c r="F1" s="1">
        <v>2030</v>
      </c>
      <c r="G1" s="1">
        <v>2035</v>
      </c>
      <c r="H1" s="1">
        <v>2040</v>
      </c>
      <c r="I1" s="1">
        <v>2045</v>
      </c>
      <c r="J1" s="1">
        <v>2050</v>
      </c>
    </row>
    <row r="2" spans="1:10" x14ac:dyDescent="0.3">
      <c r="A2" t="s">
        <v>53</v>
      </c>
      <c r="B2" t="s">
        <v>63</v>
      </c>
      <c r="C2" t="s">
        <v>11</v>
      </c>
      <c r="D2" s="8">
        <v>69903</v>
      </c>
      <c r="E2" s="8">
        <v>73176</v>
      </c>
      <c r="F2" s="8">
        <v>76188</v>
      </c>
      <c r="G2" s="8">
        <v>79887</v>
      </c>
      <c r="H2" s="8">
        <v>82800</v>
      </c>
      <c r="I2" s="8">
        <v>85321</v>
      </c>
      <c r="J2" s="8">
        <v>87840</v>
      </c>
    </row>
    <row r="3" spans="1:10" x14ac:dyDescent="0.3">
      <c r="A3" t="s">
        <v>97</v>
      </c>
      <c r="B3" t="s">
        <v>63</v>
      </c>
      <c r="C3" t="s">
        <v>11</v>
      </c>
      <c r="D3" s="8">
        <f>SUM(D4,D5,D7,D9:D10,D12:D14,D16,D18)</f>
        <v>62419</v>
      </c>
      <c r="E3" s="8">
        <f t="shared" ref="E3:J3" si="0">SUM(E4,E5,E7,E9:E10,E12:E14,E16,E18)</f>
        <v>65713</v>
      </c>
      <c r="F3" s="8">
        <f t="shared" si="0"/>
        <v>68741</v>
      </c>
      <c r="G3" s="8">
        <f t="shared" si="0"/>
        <v>72450</v>
      </c>
      <c r="H3" s="8">
        <f t="shared" si="0"/>
        <v>75383</v>
      </c>
      <c r="I3" s="8">
        <f t="shared" si="0"/>
        <v>77927</v>
      </c>
      <c r="J3" s="8">
        <f t="shared" si="0"/>
        <v>80471</v>
      </c>
    </row>
    <row r="4" spans="1:10" x14ac:dyDescent="0.3">
      <c r="A4" t="s">
        <v>18</v>
      </c>
      <c r="B4" t="s">
        <v>63</v>
      </c>
      <c r="C4" t="s">
        <v>11</v>
      </c>
      <c r="D4" s="8">
        <v>2739</v>
      </c>
      <c r="E4" s="8">
        <v>3160</v>
      </c>
      <c r="F4" s="8">
        <v>3549</v>
      </c>
      <c r="G4" s="8">
        <v>3976</v>
      </c>
      <c r="H4" s="8">
        <v>4361</v>
      </c>
      <c r="I4" s="8">
        <v>4724</v>
      </c>
      <c r="J4" s="8">
        <v>5087</v>
      </c>
    </row>
    <row r="5" spans="1:10" x14ac:dyDescent="0.3">
      <c r="A5" t="s">
        <v>19</v>
      </c>
      <c r="B5" t="s">
        <v>63</v>
      </c>
      <c r="C5" t="s">
        <v>11</v>
      </c>
      <c r="D5" s="8">
        <v>3095</v>
      </c>
      <c r="E5" s="8">
        <v>3295</v>
      </c>
      <c r="F5" s="8">
        <v>3475</v>
      </c>
      <c r="G5" s="8">
        <v>3677</v>
      </c>
      <c r="H5" s="8">
        <v>3855</v>
      </c>
      <c r="I5" s="8">
        <v>4020</v>
      </c>
      <c r="J5" s="8">
        <v>4185</v>
      </c>
    </row>
    <row r="6" spans="1:10" x14ac:dyDescent="0.3">
      <c r="A6" t="s">
        <v>44</v>
      </c>
      <c r="B6" t="s">
        <v>63</v>
      </c>
      <c r="C6" t="s">
        <v>11</v>
      </c>
      <c r="D6" s="8">
        <v>320</v>
      </c>
      <c r="E6" s="8">
        <v>326</v>
      </c>
      <c r="F6" s="8">
        <v>332</v>
      </c>
      <c r="G6" s="8">
        <v>339</v>
      </c>
      <c r="H6" s="8">
        <v>345</v>
      </c>
      <c r="I6" s="8">
        <v>352</v>
      </c>
      <c r="J6" s="8">
        <v>358</v>
      </c>
    </row>
    <row r="7" spans="1:10" x14ac:dyDescent="0.3">
      <c r="A7" t="s">
        <v>20</v>
      </c>
      <c r="B7" t="s">
        <v>63</v>
      </c>
      <c r="C7" t="s">
        <v>11</v>
      </c>
      <c r="D7" s="8">
        <v>29452</v>
      </c>
      <c r="E7" s="8">
        <v>30928</v>
      </c>
      <c r="F7" s="8">
        <v>32195</v>
      </c>
      <c r="G7" s="8">
        <v>33814</v>
      </c>
      <c r="H7" s="8">
        <v>35031</v>
      </c>
      <c r="I7" s="8">
        <v>36047</v>
      </c>
      <c r="J7" s="8">
        <v>37064</v>
      </c>
    </row>
    <row r="8" spans="1:10" x14ac:dyDescent="0.3">
      <c r="A8" t="s">
        <v>45</v>
      </c>
      <c r="B8" t="s">
        <v>63</v>
      </c>
      <c r="C8" t="s">
        <v>11</v>
      </c>
      <c r="D8" s="8">
        <v>470</v>
      </c>
      <c r="E8" s="8">
        <v>468</v>
      </c>
      <c r="F8" s="8">
        <v>465</v>
      </c>
      <c r="G8" s="8">
        <v>463</v>
      </c>
      <c r="H8" s="8">
        <v>459</v>
      </c>
      <c r="I8" s="8">
        <v>455</v>
      </c>
      <c r="J8" s="8">
        <v>451</v>
      </c>
    </row>
    <row r="9" spans="1:10" x14ac:dyDescent="0.3">
      <c r="A9" t="s">
        <v>46</v>
      </c>
      <c r="B9" t="s">
        <v>63</v>
      </c>
      <c r="C9" t="s">
        <v>11</v>
      </c>
      <c r="D9" s="8">
        <v>3768</v>
      </c>
      <c r="E9" s="8">
        <v>3855</v>
      </c>
      <c r="F9" s="8">
        <v>3926</v>
      </c>
      <c r="G9" s="8">
        <v>4026</v>
      </c>
      <c r="H9" s="8">
        <v>4093</v>
      </c>
      <c r="I9" s="8">
        <v>4143</v>
      </c>
      <c r="J9" s="8">
        <v>4193</v>
      </c>
    </row>
    <row r="10" spans="1:10" x14ac:dyDescent="0.3">
      <c r="A10" t="s">
        <v>21</v>
      </c>
      <c r="B10" t="s">
        <v>63</v>
      </c>
      <c r="C10" t="s">
        <v>11</v>
      </c>
      <c r="D10" s="8">
        <v>4027</v>
      </c>
      <c r="E10" s="8">
        <v>4307</v>
      </c>
      <c r="F10" s="8">
        <v>4528</v>
      </c>
      <c r="G10" s="8">
        <v>4895</v>
      </c>
      <c r="H10" s="8">
        <v>5095</v>
      </c>
      <c r="I10" s="8">
        <v>5212</v>
      </c>
      <c r="J10" s="8">
        <v>5329</v>
      </c>
    </row>
    <row r="11" spans="1:10" x14ac:dyDescent="0.3">
      <c r="A11" t="s">
        <v>47</v>
      </c>
      <c r="B11" t="s">
        <v>63</v>
      </c>
      <c r="C11" t="s">
        <v>11</v>
      </c>
      <c r="D11" s="8">
        <v>490</v>
      </c>
      <c r="E11" s="8">
        <v>489</v>
      </c>
      <c r="F11" s="8">
        <v>493</v>
      </c>
      <c r="G11" s="8">
        <v>496</v>
      </c>
      <c r="H11" s="8">
        <v>500</v>
      </c>
      <c r="I11" s="8">
        <v>503</v>
      </c>
      <c r="J11" s="8">
        <v>505</v>
      </c>
    </row>
    <row r="12" spans="1:10" x14ac:dyDescent="0.3">
      <c r="A12" t="s">
        <v>22</v>
      </c>
      <c r="B12" t="s">
        <v>63</v>
      </c>
      <c r="C12" t="s">
        <v>11</v>
      </c>
      <c r="D12" s="8">
        <v>5229</v>
      </c>
      <c r="E12" s="8">
        <v>5547</v>
      </c>
      <c r="F12" s="8">
        <v>5827</v>
      </c>
      <c r="G12" s="8">
        <v>6135</v>
      </c>
      <c r="H12" s="8">
        <v>6411</v>
      </c>
      <c r="I12" s="8">
        <v>6671</v>
      </c>
      <c r="J12" s="8">
        <v>6931</v>
      </c>
    </row>
    <row r="13" spans="1:10" x14ac:dyDescent="0.3">
      <c r="A13" t="s">
        <v>48</v>
      </c>
      <c r="B13" t="s">
        <v>63</v>
      </c>
      <c r="C13" t="s">
        <v>11</v>
      </c>
      <c r="D13" s="8">
        <v>5667</v>
      </c>
      <c r="E13" s="8">
        <v>5663</v>
      </c>
      <c r="F13" s="8">
        <v>5650</v>
      </c>
      <c r="G13" s="8">
        <v>5658</v>
      </c>
      <c r="H13" s="8">
        <v>5641</v>
      </c>
      <c r="I13" s="8">
        <v>5613</v>
      </c>
      <c r="J13" s="8">
        <v>5585</v>
      </c>
    </row>
    <row r="14" spans="1:10" x14ac:dyDescent="0.3">
      <c r="A14" t="s">
        <v>49</v>
      </c>
      <c r="B14" t="s">
        <v>63</v>
      </c>
      <c r="C14" t="s">
        <v>11</v>
      </c>
      <c r="D14" s="8">
        <v>275</v>
      </c>
      <c r="E14" s="8">
        <v>286</v>
      </c>
      <c r="F14" s="8">
        <v>296</v>
      </c>
      <c r="G14" s="8">
        <v>309</v>
      </c>
      <c r="H14" s="8">
        <v>319</v>
      </c>
      <c r="I14" s="8">
        <v>326</v>
      </c>
      <c r="J14" s="8">
        <v>333</v>
      </c>
    </row>
    <row r="15" spans="1:10" x14ac:dyDescent="0.3">
      <c r="A15" t="s">
        <v>50</v>
      </c>
      <c r="B15" t="s">
        <v>63</v>
      </c>
      <c r="C15" t="s">
        <v>11</v>
      </c>
      <c r="D15" s="8">
        <v>338</v>
      </c>
      <c r="E15" s="8">
        <v>352</v>
      </c>
      <c r="F15" s="8">
        <v>358</v>
      </c>
      <c r="G15" s="8">
        <v>365</v>
      </c>
      <c r="H15" s="8">
        <v>370</v>
      </c>
      <c r="I15" s="8">
        <v>374</v>
      </c>
      <c r="J15" s="8">
        <v>378</v>
      </c>
    </row>
    <row r="16" spans="1:10" x14ac:dyDescent="0.3">
      <c r="A16" t="s">
        <v>23</v>
      </c>
      <c r="B16" t="s">
        <v>63</v>
      </c>
      <c r="C16" t="s">
        <v>11</v>
      </c>
      <c r="D16" s="8">
        <v>4631</v>
      </c>
      <c r="E16" s="8">
        <v>4932</v>
      </c>
      <c r="F16" s="8">
        <v>5212</v>
      </c>
      <c r="G16" s="8">
        <v>5515</v>
      </c>
      <c r="H16" s="8">
        <v>5791</v>
      </c>
      <c r="I16" s="8">
        <v>6055</v>
      </c>
      <c r="J16" s="8">
        <v>6318</v>
      </c>
    </row>
    <row r="17" spans="1:10" x14ac:dyDescent="0.3">
      <c r="A17" t="s">
        <v>51</v>
      </c>
      <c r="B17" t="s">
        <v>63</v>
      </c>
      <c r="C17" t="s">
        <v>11</v>
      </c>
      <c r="D17" s="8">
        <v>5866</v>
      </c>
      <c r="E17" s="8">
        <v>5828</v>
      </c>
      <c r="F17" s="8">
        <v>5799</v>
      </c>
      <c r="G17" s="8">
        <v>5774</v>
      </c>
      <c r="H17" s="8">
        <v>5743</v>
      </c>
      <c r="I17" s="8">
        <v>5710</v>
      </c>
      <c r="J17" s="8">
        <v>5677</v>
      </c>
    </row>
    <row r="18" spans="1:10" x14ac:dyDescent="0.3">
      <c r="A18" t="s">
        <v>24</v>
      </c>
      <c r="B18" t="s">
        <v>63</v>
      </c>
      <c r="C18" t="s">
        <v>11</v>
      </c>
      <c r="D18" s="8">
        <v>3536</v>
      </c>
      <c r="E18" s="8">
        <v>3740</v>
      </c>
      <c r="F18" s="8">
        <v>4083</v>
      </c>
      <c r="G18" s="8">
        <v>4445</v>
      </c>
      <c r="H18" s="8">
        <v>4786</v>
      </c>
      <c r="I18" s="8">
        <v>5116</v>
      </c>
      <c r="J18" s="8">
        <v>5446</v>
      </c>
    </row>
    <row r="19" spans="1:10" x14ac:dyDescent="0.3">
      <c r="A19" t="s">
        <v>53</v>
      </c>
      <c r="B19" t="s">
        <v>63</v>
      </c>
      <c r="C19" t="s">
        <v>12</v>
      </c>
      <c r="D19" s="8">
        <v>2349059</v>
      </c>
      <c r="E19" s="8">
        <v>2482152.9999999995</v>
      </c>
      <c r="F19" s="8">
        <v>2600895.0000000005</v>
      </c>
      <c r="G19" s="8">
        <v>2747350.9999999995</v>
      </c>
      <c r="H19" s="8">
        <v>2861753</v>
      </c>
      <c r="I19" s="8">
        <v>2960127</v>
      </c>
      <c r="J19" s="8">
        <v>3058625</v>
      </c>
    </row>
    <row r="20" spans="1:10" x14ac:dyDescent="0.3">
      <c r="A20" t="s">
        <v>97</v>
      </c>
      <c r="B20" t="s">
        <v>63</v>
      </c>
      <c r="C20" t="s">
        <v>12</v>
      </c>
      <c r="D20" s="8">
        <f>SUM(D21,D22,D24,D26:D27,D29:D31,D33,D35)</f>
        <v>2140902</v>
      </c>
      <c r="E20" s="8">
        <f t="shared" ref="E20:J20" si="1">SUM(E21,E22,E24,E26:E27,E29:E31,E33,E35)</f>
        <v>2272691.9999999995</v>
      </c>
      <c r="F20" s="8">
        <f t="shared" si="1"/>
        <v>2390570.0000000005</v>
      </c>
      <c r="G20" s="8">
        <f t="shared" si="1"/>
        <v>2535793.9999999995</v>
      </c>
      <c r="H20" s="8">
        <f t="shared" si="1"/>
        <v>2649400</v>
      </c>
      <c r="I20" s="8">
        <f t="shared" si="1"/>
        <v>2747138</v>
      </c>
      <c r="J20" s="8">
        <f t="shared" si="1"/>
        <v>2844996</v>
      </c>
    </row>
    <row r="21" spans="1:10" x14ac:dyDescent="0.3">
      <c r="A21" t="s">
        <v>18</v>
      </c>
      <c r="B21" t="s">
        <v>63</v>
      </c>
      <c r="C21" t="s">
        <v>12</v>
      </c>
      <c r="D21" s="8">
        <v>211317.00000000003</v>
      </c>
      <c r="E21" s="8">
        <v>243759.00000000003</v>
      </c>
      <c r="F21" s="8">
        <v>273829</v>
      </c>
      <c r="G21" s="8">
        <v>306777.99999999994</v>
      </c>
      <c r="H21" s="8">
        <v>336449.99999999988</v>
      </c>
      <c r="I21" s="8">
        <v>364470</v>
      </c>
      <c r="J21" s="8">
        <v>392486.00000000017</v>
      </c>
    </row>
    <row r="22" spans="1:10" x14ac:dyDescent="0.3">
      <c r="A22" t="s">
        <v>19</v>
      </c>
      <c r="B22" t="s">
        <v>63</v>
      </c>
      <c r="C22" t="s">
        <v>12</v>
      </c>
      <c r="D22" s="8">
        <v>155787</v>
      </c>
      <c r="E22" s="8">
        <v>165824.00000000003</v>
      </c>
      <c r="F22" s="8">
        <v>174891.99999999994</v>
      </c>
      <c r="G22" s="8">
        <v>185064</v>
      </c>
      <c r="H22" s="8">
        <v>194007</v>
      </c>
      <c r="I22" s="8">
        <v>202333</v>
      </c>
      <c r="J22" s="8">
        <v>210652.99999999994</v>
      </c>
    </row>
    <row r="23" spans="1:10" x14ac:dyDescent="0.3">
      <c r="A23" t="s">
        <v>44</v>
      </c>
      <c r="B23" t="s">
        <v>63</v>
      </c>
      <c r="C23" t="s">
        <v>12</v>
      </c>
      <c r="D23" s="8">
        <v>28616.999999999996</v>
      </c>
      <c r="E23" s="8">
        <v>29063.000000000004</v>
      </c>
      <c r="F23" s="8">
        <v>29631.000000000004</v>
      </c>
      <c r="G23" s="8">
        <v>30244.000000000007</v>
      </c>
      <c r="H23" s="8">
        <v>30827</v>
      </c>
      <c r="I23" s="8">
        <v>31396.999999999996</v>
      </c>
      <c r="J23" s="8">
        <v>31968.000000000011</v>
      </c>
    </row>
    <row r="24" spans="1:10" x14ac:dyDescent="0.3">
      <c r="A24" t="s">
        <v>20</v>
      </c>
      <c r="B24" t="s">
        <v>63</v>
      </c>
      <c r="C24" t="s">
        <v>12</v>
      </c>
      <c r="D24" s="8">
        <v>1294211</v>
      </c>
      <c r="E24" s="8">
        <v>1359097.9999999998</v>
      </c>
      <c r="F24" s="8">
        <v>1414771.0000000005</v>
      </c>
      <c r="G24" s="8">
        <v>1485774.9999999995</v>
      </c>
      <c r="H24" s="8">
        <v>1539205</v>
      </c>
      <c r="I24" s="8">
        <v>1583745</v>
      </c>
      <c r="J24" s="8">
        <v>1628365.9999999998</v>
      </c>
    </row>
    <row r="25" spans="1:10" x14ac:dyDescent="0.3">
      <c r="A25" t="s">
        <v>45</v>
      </c>
      <c r="B25" t="s">
        <v>63</v>
      </c>
      <c r="C25" t="s">
        <v>12</v>
      </c>
      <c r="D25" s="8">
        <v>27573.000000000004</v>
      </c>
      <c r="E25" s="8">
        <v>27475.000000000011</v>
      </c>
      <c r="F25" s="8">
        <v>27266</v>
      </c>
      <c r="G25" s="8">
        <v>27131</v>
      </c>
      <c r="H25" s="8">
        <v>26933.000000000004</v>
      </c>
      <c r="I25" s="8">
        <v>26700.999999999996</v>
      </c>
      <c r="J25" s="8">
        <v>26471.999999999993</v>
      </c>
    </row>
    <row r="26" spans="1:10" x14ac:dyDescent="0.3">
      <c r="A26" t="s">
        <v>46</v>
      </c>
      <c r="B26" t="s">
        <v>63</v>
      </c>
      <c r="C26" t="s">
        <v>12</v>
      </c>
      <c r="D26" s="8">
        <v>59015.000000000007</v>
      </c>
      <c r="E26" s="8">
        <v>60429.000000000015</v>
      </c>
      <c r="F26" s="8">
        <v>61576.999999999985</v>
      </c>
      <c r="G26" s="8">
        <v>63174</v>
      </c>
      <c r="H26" s="8">
        <v>64214.000000000015</v>
      </c>
      <c r="I26" s="8">
        <v>64977.000000000029</v>
      </c>
      <c r="J26" s="8">
        <v>65744</v>
      </c>
    </row>
    <row r="27" spans="1:10" x14ac:dyDescent="0.3">
      <c r="A27" t="s">
        <v>21</v>
      </c>
      <c r="B27" t="s">
        <v>63</v>
      </c>
      <c r="C27" t="s">
        <v>12</v>
      </c>
      <c r="D27" s="8">
        <v>174466.00000000003</v>
      </c>
      <c r="E27" s="8">
        <v>186595</v>
      </c>
      <c r="F27" s="8">
        <v>196178.99999999994</v>
      </c>
      <c r="G27" s="8">
        <v>212063.00000000006</v>
      </c>
      <c r="H27" s="8">
        <v>220725</v>
      </c>
      <c r="I27" s="8">
        <v>225763.99999999997</v>
      </c>
      <c r="J27" s="8">
        <v>230811.99999999994</v>
      </c>
    </row>
    <row r="28" spans="1:10" x14ac:dyDescent="0.3">
      <c r="A28" t="s">
        <v>47</v>
      </c>
      <c r="B28" t="s">
        <v>63</v>
      </c>
      <c r="C28" t="s">
        <v>12</v>
      </c>
      <c r="D28" s="8">
        <v>45646.000000000007</v>
      </c>
      <c r="E28" s="8">
        <v>45560.999999999993</v>
      </c>
      <c r="F28" s="8">
        <v>45846</v>
      </c>
      <c r="G28" s="8">
        <v>46191.999999999993</v>
      </c>
      <c r="H28" s="8">
        <v>46484.000000000007</v>
      </c>
      <c r="I28" s="8">
        <v>46762.000000000015</v>
      </c>
      <c r="J28" s="8">
        <v>47042.000000000007</v>
      </c>
    </row>
    <row r="29" spans="1:10" x14ac:dyDescent="0.3">
      <c r="A29" t="s">
        <v>22</v>
      </c>
      <c r="B29" t="s">
        <v>63</v>
      </c>
      <c r="C29" t="s">
        <v>12</v>
      </c>
      <c r="D29" s="8">
        <v>38613.000000000015</v>
      </c>
      <c r="E29" s="8">
        <v>41016.999999999985</v>
      </c>
      <c r="F29" s="8">
        <v>43151.000000000007</v>
      </c>
      <c r="G29" s="8">
        <v>45460.999999999993</v>
      </c>
      <c r="H29" s="8">
        <v>47479.999999999985</v>
      </c>
      <c r="I29" s="8">
        <v>49379.000000000007</v>
      </c>
      <c r="J29" s="8">
        <v>51290</v>
      </c>
    </row>
    <row r="30" spans="1:10" x14ac:dyDescent="0.3">
      <c r="A30" t="s">
        <v>48</v>
      </c>
      <c r="B30" t="s">
        <v>63</v>
      </c>
      <c r="C30" t="s">
        <v>12</v>
      </c>
      <c r="D30" s="8">
        <v>59737.000000000015</v>
      </c>
      <c r="E30" s="8">
        <v>59778.999999999993</v>
      </c>
      <c r="F30" s="8">
        <v>59667.999999999985</v>
      </c>
      <c r="G30" s="8">
        <v>59685.999999999978</v>
      </c>
      <c r="H30" s="8">
        <v>59449.000000000007</v>
      </c>
      <c r="I30" s="8">
        <v>59128</v>
      </c>
      <c r="J30" s="8">
        <v>58832.000000000015</v>
      </c>
    </row>
    <row r="31" spans="1:10" x14ac:dyDescent="0.3">
      <c r="A31" t="s">
        <v>49</v>
      </c>
      <c r="B31" t="s">
        <v>63</v>
      </c>
      <c r="C31" t="s">
        <v>12</v>
      </c>
      <c r="D31" s="8">
        <v>34666.999999999993</v>
      </c>
      <c r="E31" s="8">
        <v>36106</v>
      </c>
      <c r="F31" s="8">
        <v>37320.000000000007</v>
      </c>
      <c r="G31" s="8">
        <v>38968.999999999993</v>
      </c>
      <c r="H31" s="8">
        <v>40134.000000000007</v>
      </c>
      <c r="I31" s="8">
        <v>41059.999999999993</v>
      </c>
      <c r="J31" s="8">
        <v>41984.999999999993</v>
      </c>
    </row>
    <row r="32" spans="1:10" x14ac:dyDescent="0.3">
      <c r="A32" t="s">
        <v>50</v>
      </c>
      <c r="B32" t="s">
        <v>63</v>
      </c>
      <c r="C32" t="s">
        <v>12</v>
      </c>
      <c r="D32" s="8">
        <v>35061</v>
      </c>
      <c r="E32" s="8">
        <v>36475.999999999993</v>
      </c>
      <c r="F32" s="8">
        <v>37008.999999999993</v>
      </c>
      <c r="G32" s="8">
        <v>37707.999999999985</v>
      </c>
      <c r="H32" s="8">
        <v>38234.999999999985</v>
      </c>
      <c r="I32" s="8">
        <v>38673.999999999993</v>
      </c>
      <c r="J32" s="8">
        <v>39114.000000000007</v>
      </c>
    </row>
    <row r="33" spans="1:10" x14ac:dyDescent="0.3">
      <c r="A33" t="s">
        <v>23</v>
      </c>
      <c r="B33" t="s">
        <v>63</v>
      </c>
      <c r="C33" t="s">
        <v>12</v>
      </c>
      <c r="D33" s="8">
        <v>53911.999999999985</v>
      </c>
      <c r="E33" s="8">
        <v>57442.999999999993</v>
      </c>
      <c r="F33" s="8">
        <v>60718.000000000007</v>
      </c>
      <c r="G33" s="8">
        <v>64246.000000000015</v>
      </c>
      <c r="H33" s="8">
        <v>67443</v>
      </c>
      <c r="I33" s="8">
        <v>70505</v>
      </c>
      <c r="J33" s="8">
        <v>73568</v>
      </c>
    </row>
    <row r="34" spans="1:10" x14ac:dyDescent="0.3">
      <c r="A34" t="s">
        <v>51</v>
      </c>
      <c r="B34" t="s">
        <v>63</v>
      </c>
      <c r="C34" t="s">
        <v>12</v>
      </c>
      <c r="D34" s="8">
        <v>71260</v>
      </c>
      <c r="E34" s="8">
        <v>70886</v>
      </c>
      <c r="F34" s="8">
        <v>70572.999999999985</v>
      </c>
      <c r="G34" s="8">
        <v>70281.999999999971</v>
      </c>
      <c r="H34" s="8">
        <v>69874.000000000029</v>
      </c>
      <c r="I34" s="8">
        <v>69455</v>
      </c>
      <c r="J34" s="8">
        <v>69033</v>
      </c>
    </row>
    <row r="35" spans="1:10" x14ac:dyDescent="0.3">
      <c r="A35" t="s">
        <v>24</v>
      </c>
      <c r="B35" t="s">
        <v>63</v>
      </c>
      <c r="C35" t="s">
        <v>12</v>
      </c>
      <c r="D35" s="8">
        <v>59177</v>
      </c>
      <c r="E35" s="8">
        <v>62642</v>
      </c>
      <c r="F35" s="8">
        <v>68465</v>
      </c>
      <c r="G35" s="8">
        <v>74577.999999999956</v>
      </c>
      <c r="H35" s="8">
        <v>80292.999999999971</v>
      </c>
      <c r="I35" s="8">
        <v>85777.000000000015</v>
      </c>
      <c r="J35" s="8">
        <v>91259.999999999956</v>
      </c>
    </row>
    <row r="36" spans="1:10" x14ac:dyDescent="0.3">
      <c r="A36" t="s">
        <v>53</v>
      </c>
      <c r="B36" t="s">
        <v>64</v>
      </c>
      <c r="C36" t="s">
        <v>13</v>
      </c>
      <c r="D36" s="8">
        <v>927795.43834321212</v>
      </c>
      <c r="E36" s="8">
        <v>978229.0634266726</v>
      </c>
      <c r="F36" s="8">
        <v>1023819.5606846005</v>
      </c>
      <c r="G36" s="8">
        <v>1080345.1980058779</v>
      </c>
      <c r="H36" s="8">
        <v>1124373.8185789513</v>
      </c>
      <c r="I36" s="8">
        <v>1162154.8452123569</v>
      </c>
      <c r="J36" s="8">
        <v>1199937.474486527</v>
      </c>
    </row>
    <row r="37" spans="1:10" x14ac:dyDescent="0.3">
      <c r="A37" t="s">
        <v>97</v>
      </c>
      <c r="B37" t="s">
        <v>64</v>
      </c>
      <c r="C37" t="s">
        <v>13</v>
      </c>
      <c r="D37" s="8">
        <f>SUM(D38,D39,D41,D43:D44,D46:D48,D50,D52)</f>
        <v>843439.22313235479</v>
      </c>
      <c r="E37" s="8">
        <f t="shared" ref="E37:J37" si="2">SUM(E38,E39,E41,E43:E44,E46:E48,E50,E52)</f>
        <v>893302.1533903185</v>
      </c>
      <c r="F37" s="8">
        <f t="shared" si="2"/>
        <v>938547.29161497287</v>
      </c>
      <c r="G37" s="8">
        <f t="shared" si="2"/>
        <v>994586.79882920289</v>
      </c>
      <c r="H37" s="8">
        <f t="shared" si="2"/>
        <v>1038291.3463737348</v>
      </c>
      <c r="I37" s="8">
        <f t="shared" si="2"/>
        <v>1075826.6676633365</v>
      </c>
      <c r="J37" s="8">
        <f t="shared" si="2"/>
        <v>1113362.7617181845</v>
      </c>
    </row>
    <row r="38" spans="1:10" x14ac:dyDescent="0.3">
      <c r="A38" t="s">
        <v>18</v>
      </c>
      <c r="B38" t="s">
        <v>64</v>
      </c>
      <c r="C38" t="s">
        <v>13</v>
      </c>
      <c r="D38" s="8">
        <v>74761.619718309856</v>
      </c>
      <c r="E38" s="8">
        <v>85864.788732394372</v>
      </c>
      <c r="F38" s="8">
        <v>96455.985915492958</v>
      </c>
      <c r="G38" s="8">
        <v>108058.80281690141</v>
      </c>
      <c r="H38" s="8">
        <v>118505.63380281691</v>
      </c>
      <c r="I38" s="8">
        <v>128374.29577464789</v>
      </c>
      <c r="J38" s="8">
        <v>138242.95774647887</v>
      </c>
    </row>
    <row r="39" spans="1:10" x14ac:dyDescent="0.3">
      <c r="A39" t="s">
        <v>19</v>
      </c>
      <c r="B39" t="s">
        <v>64</v>
      </c>
      <c r="C39" t="s">
        <v>13</v>
      </c>
      <c r="D39" s="8">
        <v>58306.716417910444</v>
      </c>
      <c r="E39" s="8">
        <v>61898.507462686561</v>
      </c>
      <c r="F39" s="8">
        <v>65288.805970149253</v>
      </c>
      <c r="G39" s="8">
        <v>69083.208955223876</v>
      </c>
      <c r="H39" s="8">
        <v>72415.298507462678</v>
      </c>
      <c r="I39" s="8">
        <v>75516.417910447752</v>
      </c>
      <c r="J39" s="8">
        <v>78617.537313432826</v>
      </c>
    </row>
    <row r="40" spans="1:10" x14ac:dyDescent="0.3">
      <c r="A40" t="s">
        <v>44</v>
      </c>
      <c r="B40" t="s">
        <v>64</v>
      </c>
      <c r="C40" t="s">
        <v>13</v>
      </c>
      <c r="D40" s="8">
        <v>11875.103734439834</v>
      </c>
      <c r="E40" s="8">
        <v>12071.784232365144</v>
      </c>
      <c r="F40" s="8">
        <v>12314.937759336099</v>
      </c>
      <c r="G40" s="8">
        <v>12570.539419087136</v>
      </c>
      <c r="H40" s="8">
        <v>12811.203319502074</v>
      </c>
      <c r="I40" s="8">
        <v>13044.813278008298</v>
      </c>
      <c r="J40" s="8">
        <v>13278.838174273858</v>
      </c>
    </row>
    <row r="41" spans="1:10" x14ac:dyDescent="0.3">
      <c r="A41" t="s">
        <v>20</v>
      </c>
      <c r="B41" t="s">
        <v>64</v>
      </c>
      <c r="C41" t="s">
        <v>13</v>
      </c>
      <c r="D41" s="8">
        <v>526244.30894308945</v>
      </c>
      <c r="E41" s="8">
        <v>552519.91869918699</v>
      </c>
      <c r="F41" s="8">
        <v>575160.56910569104</v>
      </c>
      <c r="G41" s="8">
        <v>604077.23577235779</v>
      </c>
      <c r="H41" s="8">
        <v>625821.13821138209</v>
      </c>
      <c r="I41" s="8">
        <v>643977.64227642282</v>
      </c>
      <c r="J41" s="8">
        <v>662134.14634146343</v>
      </c>
    </row>
    <row r="42" spans="1:10" x14ac:dyDescent="0.3">
      <c r="A42" t="s">
        <v>45</v>
      </c>
      <c r="B42" t="s">
        <v>64</v>
      </c>
      <c r="C42" t="s">
        <v>13</v>
      </c>
      <c r="D42" s="8">
        <v>11422.821576763485</v>
      </c>
      <c r="E42" s="8">
        <v>11409.543568464729</v>
      </c>
      <c r="F42" s="8">
        <v>11326.556016597509</v>
      </c>
      <c r="G42" s="8">
        <v>11272.199170124481</v>
      </c>
      <c r="H42" s="8">
        <v>11190.456431535269</v>
      </c>
      <c r="I42" s="8">
        <v>11093.360995850622</v>
      </c>
      <c r="J42" s="8">
        <v>10996.68049792531</v>
      </c>
    </row>
    <row r="43" spans="1:10" x14ac:dyDescent="0.3">
      <c r="A43" t="s">
        <v>46</v>
      </c>
      <c r="B43" t="s">
        <v>64</v>
      </c>
      <c r="C43" t="s">
        <v>13</v>
      </c>
      <c r="D43" s="8">
        <v>23411.507936507936</v>
      </c>
      <c r="E43" s="8">
        <v>23929.365079365078</v>
      </c>
      <c r="F43" s="8">
        <v>24370.238095238095</v>
      </c>
      <c r="G43" s="8">
        <v>24994.841269841269</v>
      </c>
      <c r="H43" s="8">
        <v>25409.523809523809</v>
      </c>
      <c r="I43" s="8">
        <v>25719.841269841269</v>
      </c>
      <c r="J43" s="8">
        <v>26030.555555555555</v>
      </c>
    </row>
    <row r="44" spans="1:10" x14ac:dyDescent="0.3">
      <c r="A44" t="s">
        <v>21</v>
      </c>
      <c r="B44" t="s">
        <v>64</v>
      </c>
      <c r="C44" t="s">
        <v>13</v>
      </c>
      <c r="D44" s="8">
        <v>65659.022556390977</v>
      </c>
      <c r="E44" s="8">
        <v>70153.383458646611</v>
      </c>
      <c r="F44" s="8">
        <v>73752.631578947359</v>
      </c>
      <c r="G44" s="8">
        <v>79724.436090225558</v>
      </c>
      <c r="H44" s="8">
        <v>82984.210526315786</v>
      </c>
      <c r="I44" s="8">
        <v>84889.097744360901</v>
      </c>
      <c r="J44" s="8">
        <v>86794.360902255634</v>
      </c>
    </row>
    <row r="45" spans="1:10" x14ac:dyDescent="0.3">
      <c r="A45" t="s">
        <v>47</v>
      </c>
      <c r="B45" t="s">
        <v>64</v>
      </c>
      <c r="C45" t="s">
        <v>13</v>
      </c>
      <c r="D45" s="8">
        <v>18910.788381742739</v>
      </c>
      <c r="E45" s="8">
        <v>18923.651452282156</v>
      </c>
      <c r="F45" s="8">
        <v>19051.452282157676</v>
      </c>
      <c r="G45" s="8">
        <v>19197.925311203318</v>
      </c>
      <c r="H45" s="8">
        <v>19318.672199170123</v>
      </c>
      <c r="I45" s="8">
        <v>19432.365145228214</v>
      </c>
      <c r="J45" s="8">
        <v>19546.058091286304</v>
      </c>
    </row>
    <row r="46" spans="1:10" x14ac:dyDescent="0.3">
      <c r="A46" t="s">
        <v>22</v>
      </c>
      <c r="B46" t="s">
        <v>64</v>
      </c>
      <c r="C46" t="s">
        <v>13</v>
      </c>
      <c r="D46" s="8">
        <v>14843.846153846152</v>
      </c>
      <c r="E46" s="8">
        <v>15746.153846153846</v>
      </c>
      <c r="F46" s="8">
        <v>16540.76923076923</v>
      </c>
      <c r="G46" s="8">
        <v>17414.23076923077</v>
      </c>
      <c r="H46" s="8">
        <v>18198.076923076922</v>
      </c>
      <c r="I46" s="8">
        <v>18936.153846153844</v>
      </c>
      <c r="J46" s="8">
        <v>19674.23076923077</v>
      </c>
    </row>
    <row r="47" spans="1:10" x14ac:dyDescent="0.3">
      <c r="A47" t="s">
        <v>48</v>
      </c>
      <c r="B47" t="s">
        <v>64</v>
      </c>
      <c r="C47" t="s">
        <v>13</v>
      </c>
      <c r="D47" s="8">
        <v>24667.768595041322</v>
      </c>
      <c r="E47" s="8">
        <v>24649.173553719011</v>
      </c>
      <c r="F47" s="8">
        <v>24590.909090909092</v>
      </c>
      <c r="G47" s="8">
        <v>24623.14049586777</v>
      </c>
      <c r="H47" s="8">
        <v>24552.892561983474</v>
      </c>
      <c r="I47" s="8">
        <v>24429.338842975209</v>
      </c>
      <c r="J47" s="8">
        <v>24305.785123966944</v>
      </c>
    </row>
    <row r="48" spans="1:10" x14ac:dyDescent="0.3">
      <c r="A48" t="s">
        <v>49</v>
      </c>
      <c r="B48" t="s">
        <v>64</v>
      </c>
      <c r="C48" t="s">
        <v>13</v>
      </c>
      <c r="D48" s="8">
        <v>12992.134831460675</v>
      </c>
      <c r="E48" s="8">
        <v>13535.205992509364</v>
      </c>
      <c r="F48" s="8">
        <v>13996.254681647941</v>
      </c>
      <c r="G48" s="8">
        <v>14617.602996254682</v>
      </c>
      <c r="H48" s="8">
        <v>15056.1797752809</v>
      </c>
      <c r="I48" s="8">
        <v>15403.745318352061</v>
      </c>
      <c r="J48" s="8">
        <v>15751.310861423221</v>
      </c>
    </row>
    <row r="49" spans="1:12" x14ac:dyDescent="0.3">
      <c r="A49" t="s">
        <v>50</v>
      </c>
      <c r="B49" t="s">
        <v>64</v>
      </c>
      <c r="C49" t="s">
        <v>13</v>
      </c>
      <c r="D49" s="8">
        <v>13000.370370370369</v>
      </c>
      <c r="E49" s="8">
        <v>13521.111111111109</v>
      </c>
      <c r="F49" s="8">
        <v>13724.814814814814</v>
      </c>
      <c r="G49" s="8">
        <v>13987.407407407407</v>
      </c>
      <c r="H49" s="8">
        <v>14182.222222222221</v>
      </c>
      <c r="I49" s="8">
        <v>14343.703703703703</v>
      </c>
      <c r="J49" s="8">
        <v>14505.185185185184</v>
      </c>
    </row>
    <row r="50" spans="1:12" x14ac:dyDescent="0.3">
      <c r="A50" t="s">
        <v>23</v>
      </c>
      <c r="B50" t="s">
        <v>64</v>
      </c>
      <c r="C50" t="s">
        <v>13</v>
      </c>
      <c r="D50" s="8">
        <v>19998.888888888887</v>
      </c>
      <c r="E50" s="8">
        <v>21267.777777777777</v>
      </c>
      <c r="F50" s="8">
        <v>22473.703703703701</v>
      </c>
      <c r="G50" s="8">
        <v>23778.148148148146</v>
      </c>
      <c r="H50" s="8">
        <v>24970.740740740741</v>
      </c>
      <c r="I50" s="8">
        <v>26107.407407407405</v>
      </c>
      <c r="J50" s="8">
        <v>27244.074074074073</v>
      </c>
    </row>
    <row r="51" spans="1:12" x14ac:dyDescent="0.3">
      <c r="A51" t="s">
        <v>51</v>
      </c>
      <c r="B51" t="s">
        <v>64</v>
      </c>
      <c r="C51" t="s">
        <v>13</v>
      </c>
      <c r="D51" s="8">
        <v>29147.131147540986</v>
      </c>
      <c r="E51" s="8">
        <v>29000.819672131147</v>
      </c>
      <c r="F51" s="8">
        <v>28854.508196721312</v>
      </c>
      <c r="G51" s="8">
        <v>28730.327868852459</v>
      </c>
      <c r="H51" s="8">
        <v>28579.918032786885</v>
      </c>
      <c r="I51" s="8">
        <v>28413.934426229509</v>
      </c>
      <c r="J51" s="8">
        <v>28247.950819672133</v>
      </c>
    </row>
    <row r="52" spans="1:12" x14ac:dyDescent="0.3">
      <c r="A52" t="s">
        <v>24</v>
      </c>
      <c r="B52" t="s">
        <v>64</v>
      </c>
      <c r="C52" t="s">
        <v>13</v>
      </c>
      <c r="D52" s="8">
        <v>22553.409090909088</v>
      </c>
      <c r="E52" s="8">
        <v>23737.878787878788</v>
      </c>
      <c r="F52" s="8">
        <v>25917.42424242424</v>
      </c>
      <c r="G52" s="8">
        <v>28215.151515151512</v>
      </c>
      <c r="H52" s="8">
        <v>30377.651515151512</v>
      </c>
      <c r="I52" s="8">
        <v>32472.727272727272</v>
      </c>
      <c r="J52" s="8">
        <v>34567.803030303032</v>
      </c>
    </row>
    <row r="53" spans="1:12" x14ac:dyDescent="0.3">
      <c r="A53" t="s">
        <v>53</v>
      </c>
      <c r="B53" t="s">
        <v>64</v>
      </c>
      <c r="C53" t="s">
        <v>14</v>
      </c>
      <c r="D53" s="8">
        <v>1007706.7445437734</v>
      </c>
      <c r="E53" s="8">
        <v>1023642.5981423013</v>
      </c>
      <c r="F53" s="8">
        <v>1073184.3401550374</v>
      </c>
      <c r="G53" s="8">
        <v>1129047.7806016137</v>
      </c>
      <c r="H53" s="8">
        <v>1175283.5672471765</v>
      </c>
      <c r="I53" s="8">
        <v>1215617.3670339105</v>
      </c>
      <c r="J53" s="8">
        <v>1252563.5594214879</v>
      </c>
    </row>
    <row r="54" spans="1:12" x14ac:dyDescent="0.3">
      <c r="A54" t="s">
        <v>97</v>
      </c>
      <c r="B54" t="s">
        <v>64</v>
      </c>
      <c r="C54" t="s">
        <v>14</v>
      </c>
      <c r="D54" s="8">
        <f>SUM(D55,D56,D58,D60:D61,D63:D65,D67,D69)</f>
        <v>910357.31046726275</v>
      </c>
      <c r="E54" s="8">
        <f t="shared" ref="E54:J54" si="3">SUM(E55,E56,E58,E60:E61,E63:E65,E67,E69)</f>
        <v>934773.02138153301</v>
      </c>
      <c r="F54" s="8">
        <f t="shared" si="3"/>
        <v>983800.55874552915</v>
      </c>
      <c r="G54" s="8">
        <f t="shared" si="3"/>
        <v>1039423.3434892037</v>
      </c>
      <c r="H54" s="8">
        <f t="shared" si="3"/>
        <v>1085303.4259996072</v>
      </c>
      <c r="I54" s="8">
        <f t="shared" si="3"/>
        <v>1125317.8408345419</v>
      </c>
      <c r="J54" s="8">
        <f t="shared" si="3"/>
        <v>1162191.9086590917</v>
      </c>
    </row>
    <row r="55" spans="1:12" x14ac:dyDescent="0.3">
      <c r="A55" t="s">
        <v>18</v>
      </c>
      <c r="B55" t="s">
        <v>64</v>
      </c>
      <c r="C55" t="s">
        <v>14</v>
      </c>
      <c r="D55" s="8">
        <v>78118.110272349833</v>
      </c>
      <c r="E55" s="8">
        <v>89850.995756635995</v>
      </c>
      <c r="F55" s="8">
        <v>101106.73557506967</v>
      </c>
      <c r="G55" s="8">
        <v>112930.15576881029</v>
      </c>
      <c r="H55" s="8">
        <v>123871.36887506816</v>
      </c>
      <c r="I55" s="8">
        <v>134279.88883520477</v>
      </c>
      <c r="J55" s="8">
        <v>144305.92835179277</v>
      </c>
    </row>
    <row r="56" spans="1:12" x14ac:dyDescent="0.3">
      <c r="A56" t="s">
        <v>19</v>
      </c>
      <c r="B56" t="s">
        <v>64</v>
      </c>
      <c r="C56" t="s">
        <v>14</v>
      </c>
      <c r="D56" s="8">
        <v>62900.065001515526</v>
      </c>
      <c r="E56" s="8">
        <v>64772.098242800428</v>
      </c>
      <c r="F56" s="8">
        <v>68436.789884863145</v>
      </c>
      <c r="G56" s="8">
        <v>72197.519729530657</v>
      </c>
      <c r="H56" s="8">
        <v>75694.1409936821</v>
      </c>
      <c r="I56" s="8">
        <v>78990.39399638414</v>
      </c>
      <c r="J56" s="8">
        <v>82065.494631212743</v>
      </c>
      <c r="L56" s="2"/>
    </row>
    <row r="57" spans="1:12" x14ac:dyDescent="0.3">
      <c r="A57" t="s">
        <v>44</v>
      </c>
      <c r="B57" t="s">
        <v>64</v>
      </c>
      <c r="C57" t="s">
        <v>14</v>
      </c>
      <c r="D57" s="8">
        <v>12959.717452026909</v>
      </c>
      <c r="E57" s="8">
        <v>12632.207565521598</v>
      </c>
      <c r="F57" s="8">
        <v>12908.718353130655</v>
      </c>
      <c r="G57" s="8">
        <v>13137.226562660404</v>
      </c>
      <c r="H57" s="8">
        <v>13391.272981705424</v>
      </c>
      <c r="I57" s="8">
        <v>13644.912840821866</v>
      </c>
      <c r="J57" s="8">
        <v>13861.21290667062</v>
      </c>
      <c r="L57" s="2"/>
    </row>
    <row r="58" spans="1:12" x14ac:dyDescent="0.3">
      <c r="A58" t="s">
        <v>20</v>
      </c>
      <c r="B58" t="s">
        <v>64</v>
      </c>
      <c r="C58" t="s">
        <v>14</v>
      </c>
      <c r="D58" s="8">
        <v>567028.37717431888</v>
      </c>
      <c r="E58" s="8">
        <v>578170.23256435327</v>
      </c>
      <c r="F58" s="8">
        <v>602892.67712969484</v>
      </c>
      <c r="G58" s="8">
        <v>631309.38483333518</v>
      </c>
      <c r="H58" s="8">
        <v>654157.26302249788</v>
      </c>
      <c r="I58" s="8">
        <v>673602.49725562707</v>
      </c>
      <c r="J58" s="8">
        <v>691173.5992834717</v>
      </c>
    </row>
    <row r="59" spans="1:12" x14ac:dyDescent="0.3">
      <c r="A59" t="s">
        <v>45</v>
      </c>
      <c r="B59" t="s">
        <v>64</v>
      </c>
      <c r="C59" t="s">
        <v>14</v>
      </c>
      <c r="D59" s="8">
        <v>13308.632058178353</v>
      </c>
      <c r="E59" s="8">
        <v>11939.222886231993</v>
      </c>
      <c r="F59" s="8">
        <v>11872.680510981079</v>
      </c>
      <c r="G59" s="8">
        <v>11780.356388883729</v>
      </c>
      <c r="H59" s="8">
        <v>11697.141410319467</v>
      </c>
      <c r="I59" s="8">
        <v>11603.688046293422</v>
      </c>
      <c r="J59" s="8">
        <v>11478.965828778975</v>
      </c>
    </row>
    <row r="60" spans="1:12" x14ac:dyDescent="0.3">
      <c r="A60" t="s">
        <v>46</v>
      </c>
      <c r="B60" t="s">
        <v>64</v>
      </c>
      <c r="C60" t="s">
        <v>14</v>
      </c>
      <c r="D60" s="8">
        <v>26331.464977965825</v>
      </c>
      <c r="E60" s="8">
        <v>25040.267517642667</v>
      </c>
      <c r="F60" s="8">
        <v>25545.280529872802</v>
      </c>
      <c r="G60" s="8">
        <v>26121.623083338196</v>
      </c>
      <c r="H60" s="8">
        <v>26560.02415873779</v>
      </c>
      <c r="I60" s="8">
        <v>26903.029190797286</v>
      </c>
      <c r="J60" s="8">
        <v>27172.186896102765</v>
      </c>
    </row>
    <row r="61" spans="1:12" x14ac:dyDescent="0.3">
      <c r="A61" t="s">
        <v>21</v>
      </c>
      <c r="B61" t="s">
        <v>64</v>
      </c>
      <c r="C61" t="s">
        <v>14</v>
      </c>
      <c r="D61" s="8">
        <v>72348.571468226306</v>
      </c>
      <c r="E61" s="8">
        <v>73410.200531692884</v>
      </c>
      <c r="F61" s="8">
        <v>77308.70975235579</v>
      </c>
      <c r="G61" s="8">
        <v>83318.459501214587</v>
      </c>
      <c r="H61" s="8">
        <v>86741.595509421531</v>
      </c>
      <c r="I61" s="8">
        <v>88794.244514833277</v>
      </c>
      <c r="J61" s="8">
        <v>90600.932082701795</v>
      </c>
    </row>
    <row r="62" spans="1:12" x14ac:dyDescent="0.3">
      <c r="A62" t="s">
        <v>47</v>
      </c>
      <c r="B62" t="s">
        <v>64</v>
      </c>
      <c r="C62" t="s">
        <v>14</v>
      </c>
      <c r="D62" s="8">
        <v>23836.701115451906</v>
      </c>
      <c r="E62" s="8">
        <v>19802.167470978518</v>
      </c>
      <c r="F62" s="8">
        <v>19970.042604725259</v>
      </c>
      <c r="G62" s="8">
        <v>20063.378820749596</v>
      </c>
      <c r="H62" s="8">
        <v>20193.389068250723</v>
      </c>
      <c r="I62" s="8">
        <v>20326.31077553819</v>
      </c>
      <c r="J62" s="8">
        <v>20403.296518393418</v>
      </c>
      <c r="L62" s="2"/>
    </row>
    <row r="63" spans="1:12" x14ac:dyDescent="0.3">
      <c r="A63" t="s">
        <v>22</v>
      </c>
      <c r="B63" t="s">
        <v>64</v>
      </c>
      <c r="C63" t="s">
        <v>14</v>
      </c>
      <c r="D63" s="8">
        <v>15956.862786278114</v>
      </c>
      <c r="E63" s="8">
        <v>16477.156973197554</v>
      </c>
      <c r="F63" s="8">
        <v>17338.303734605357</v>
      </c>
      <c r="G63" s="8">
        <v>18199.274303413313</v>
      </c>
      <c r="H63" s="8">
        <v>19022.055129515229</v>
      </c>
      <c r="I63" s="8">
        <v>19807.272305442544</v>
      </c>
      <c r="J63" s="8">
        <v>20537.090511097416</v>
      </c>
      <c r="L63" s="2"/>
    </row>
    <row r="64" spans="1:12" x14ac:dyDescent="0.3">
      <c r="A64" t="s">
        <v>48</v>
      </c>
      <c r="B64" t="s">
        <v>64</v>
      </c>
      <c r="C64" t="s">
        <v>14</v>
      </c>
      <c r="D64" s="8">
        <v>27935.493881974326</v>
      </c>
      <c r="E64" s="8">
        <v>25793.492548875591</v>
      </c>
      <c r="F64" s="8">
        <v>25776.591461969252</v>
      </c>
      <c r="G64" s="8">
        <v>25733.165824790362</v>
      </c>
      <c r="H64" s="8">
        <v>25664.606094221632</v>
      </c>
      <c r="I64" s="8">
        <v>25553.15987797681</v>
      </c>
      <c r="J64" s="8">
        <v>25371.772593765862</v>
      </c>
      <c r="L64" s="2"/>
    </row>
    <row r="65" spans="1:12" x14ac:dyDescent="0.3">
      <c r="A65" t="s">
        <v>49</v>
      </c>
      <c r="B65" t="s">
        <v>64</v>
      </c>
      <c r="C65" t="s">
        <v>14</v>
      </c>
      <c r="D65" s="8">
        <v>14258.132048274012</v>
      </c>
      <c r="E65" s="8">
        <v>14163.567559554631</v>
      </c>
      <c r="F65" s="8">
        <v>14671.102137492231</v>
      </c>
      <c r="G65" s="8">
        <v>15276.572942704059</v>
      </c>
      <c r="H65" s="8">
        <v>15737.898182093253</v>
      </c>
      <c r="I65" s="8">
        <v>16112.362654164626</v>
      </c>
      <c r="J65" s="8">
        <v>16442.121708534189</v>
      </c>
      <c r="L65" s="2"/>
    </row>
    <row r="66" spans="1:12" x14ac:dyDescent="0.3">
      <c r="A66" t="s">
        <v>50</v>
      </c>
      <c r="B66" t="s">
        <v>64</v>
      </c>
      <c r="C66" t="s">
        <v>14</v>
      </c>
      <c r="D66" s="8">
        <v>15110.372976638864</v>
      </c>
      <c r="E66" s="8">
        <v>14148.818334087462</v>
      </c>
      <c r="F66" s="8">
        <v>14386.574447686917</v>
      </c>
      <c r="G66" s="8">
        <v>14617.967774424251</v>
      </c>
      <c r="H66" s="8">
        <v>14824.369306190054</v>
      </c>
      <c r="I66" s="8">
        <v>15003.556024950127</v>
      </c>
      <c r="J66" s="8">
        <v>15141.344254956335</v>
      </c>
      <c r="L66" s="2"/>
    </row>
    <row r="67" spans="1:12" x14ac:dyDescent="0.3">
      <c r="A67" t="s">
        <v>23</v>
      </c>
      <c r="B67" t="s">
        <v>64</v>
      </c>
      <c r="C67" t="s">
        <v>14</v>
      </c>
      <c r="D67" s="8">
        <v>21746.570465356308</v>
      </c>
      <c r="E67" s="8">
        <v>22255.11806498218</v>
      </c>
      <c r="F67" s="8">
        <v>23557.302288668656</v>
      </c>
      <c r="G67" s="8">
        <v>24850.080736265721</v>
      </c>
      <c r="H67" s="8">
        <v>26101.373733224689</v>
      </c>
      <c r="I67" s="8">
        <v>27308.424504201983</v>
      </c>
      <c r="J67" s="8">
        <v>28438.927128238513</v>
      </c>
      <c r="L67" s="2"/>
    </row>
    <row r="68" spans="1:12" x14ac:dyDescent="0.3">
      <c r="A68" t="s">
        <v>51</v>
      </c>
      <c r="B68" t="s">
        <v>64</v>
      </c>
      <c r="C68" t="s">
        <v>14</v>
      </c>
      <c r="D68" s="8">
        <v>32134.010474214716</v>
      </c>
      <c r="E68" s="8">
        <v>30347.16050394874</v>
      </c>
      <c r="F68" s="8">
        <v>30245.765492984148</v>
      </c>
      <c r="G68" s="8">
        <v>30025.507565692056</v>
      </c>
      <c r="H68" s="8">
        <v>29873.968481103591</v>
      </c>
      <c r="I68" s="8">
        <v>29721.058511764684</v>
      </c>
      <c r="J68" s="8">
        <v>29486.831253597073</v>
      </c>
      <c r="L68" s="2"/>
    </row>
    <row r="69" spans="1:12" x14ac:dyDescent="0.3">
      <c r="A69" t="s">
        <v>24</v>
      </c>
      <c r="B69" t="s">
        <v>64</v>
      </c>
      <c r="C69" t="s">
        <v>14</v>
      </c>
      <c r="D69" s="8">
        <v>23733.662391003534</v>
      </c>
      <c r="E69" s="8">
        <v>24839.891621797746</v>
      </c>
      <c r="F69" s="8">
        <v>27167.066250937463</v>
      </c>
      <c r="G69" s="8">
        <v>29487.106765801316</v>
      </c>
      <c r="H69" s="8">
        <v>31753.100301145012</v>
      </c>
      <c r="I69" s="8">
        <v>33966.567699909159</v>
      </c>
      <c r="J69" s="8">
        <v>36083.855472173957</v>
      </c>
      <c r="L69" s="2"/>
    </row>
    <row r="70" spans="1:12" x14ac:dyDescent="0.3">
      <c r="A70" t="s">
        <v>53</v>
      </c>
      <c r="B70" t="s">
        <v>3</v>
      </c>
      <c r="C70" t="s">
        <v>4</v>
      </c>
      <c r="D70" s="8">
        <f>SUM(D72:D86)</f>
        <v>271473</v>
      </c>
      <c r="E70" s="8">
        <f t="shared" ref="E70:J70" si="4">SUM(E72:E86)</f>
        <v>286375</v>
      </c>
      <c r="F70" s="8">
        <f t="shared" si="4"/>
        <v>298045</v>
      </c>
      <c r="G70" s="8">
        <f t="shared" si="4"/>
        <v>314195</v>
      </c>
      <c r="H70" s="8">
        <f t="shared" si="4"/>
        <v>327874</v>
      </c>
      <c r="I70" s="8">
        <f t="shared" si="4"/>
        <v>340388</v>
      </c>
      <c r="J70" s="8">
        <f t="shared" si="4"/>
        <v>351959</v>
      </c>
      <c r="L70" s="2"/>
    </row>
    <row r="71" spans="1:12" x14ac:dyDescent="0.3">
      <c r="A71" t="s">
        <v>97</v>
      </c>
      <c r="B71" t="s">
        <v>3</v>
      </c>
      <c r="C71" t="s">
        <v>4</v>
      </c>
      <c r="D71" s="8">
        <f>SUM(D72,D73,D75,D77:D78,D80:D82,D84,D86)</f>
        <v>247237</v>
      </c>
      <c r="E71" s="8">
        <f t="shared" ref="E71:J71" si="5">SUM(E72,E73,E75,E77:E78,E80:E82,E84,E86)</f>
        <v>262461</v>
      </c>
      <c r="F71" s="8">
        <f t="shared" si="5"/>
        <v>274305</v>
      </c>
      <c r="G71" s="8">
        <f t="shared" si="5"/>
        <v>290443</v>
      </c>
      <c r="H71" s="8">
        <f t="shared" si="5"/>
        <v>303964</v>
      </c>
      <c r="I71" s="8">
        <f t="shared" si="5"/>
        <v>316226</v>
      </c>
      <c r="J71" s="8">
        <f t="shared" si="5"/>
        <v>327549</v>
      </c>
      <c r="L71" s="2"/>
    </row>
    <row r="72" spans="1:12" x14ac:dyDescent="0.3">
      <c r="A72" t="s">
        <v>18</v>
      </c>
      <c r="B72" t="s">
        <v>3</v>
      </c>
      <c r="C72" t="s">
        <v>4</v>
      </c>
      <c r="D72" s="8">
        <f>Jobs!B45</f>
        <v>17983</v>
      </c>
      <c r="E72" s="8">
        <f>Jobs!C45</f>
        <v>20432</v>
      </c>
      <c r="F72" s="8">
        <f>Jobs!D45</f>
        <v>22644</v>
      </c>
      <c r="G72" s="8">
        <f>Jobs!E45</f>
        <v>25026</v>
      </c>
      <c r="H72" s="8">
        <f>Jobs!F45</f>
        <v>27276</v>
      </c>
      <c r="I72" s="8">
        <f>Jobs!G45</f>
        <v>29472</v>
      </c>
      <c r="J72" s="8">
        <f>Jobs!H45</f>
        <v>31778</v>
      </c>
      <c r="L72" s="2"/>
    </row>
    <row r="73" spans="1:12" x14ac:dyDescent="0.3">
      <c r="A73" t="s">
        <v>19</v>
      </c>
      <c r="B73" t="s">
        <v>3</v>
      </c>
      <c r="C73" t="s">
        <v>4</v>
      </c>
      <c r="D73" s="8">
        <f>Jobs!B46</f>
        <v>11631</v>
      </c>
      <c r="E73" s="8">
        <f>Jobs!C46</f>
        <v>12071</v>
      </c>
      <c r="F73" s="8">
        <f>Jobs!D46</f>
        <v>12527</v>
      </c>
      <c r="G73" s="8">
        <f>Jobs!E46</f>
        <v>13191</v>
      </c>
      <c r="H73" s="8">
        <f>Jobs!F46</f>
        <v>13902</v>
      </c>
      <c r="I73" s="8">
        <f>Jobs!G46</f>
        <v>14625</v>
      </c>
      <c r="J73" s="8">
        <f>Jobs!H46</f>
        <v>15317</v>
      </c>
      <c r="L73" s="2"/>
    </row>
    <row r="74" spans="1:12" x14ac:dyDescent="0.3">
      <c r="A74" t="s">
        <v>44</v>
      </c>
      <c r="B74" t="s">
        <v>3</v>
      </c>
      <c r="C74" t="s">
        <v>4</v>
      </c>
      <c r="D74" s="8">
        <f>Jobs!B47</f>
        <v>4383</v>
      </c>
      <c r="E74" s="8">
        <f>Jobs!C47</f>
        <v>4439</v>
      </c>
      <c r="F74" s="8">
        <f>Jobs!D47</f>
        <v>4520</v>
      </c>
      <c r="G74" s="8">
        <f>Jobs!E47</f>
        <v>4588</v>
      </c>
      <c r="H74" s="8">
        <f>Jobs!F47</f>
        <v>4659</v>
      </c>
      <c r="I74" s="8">
        <f>Jobs!G47</f>
        <v>4747</v>
      </c>
      <c r="J74" s="8">
        <f>Jobs!H47</f>
        <v>4851</v>
      </c>
      <c r="L74" s="2"/>
    </row>
    <row r="75" spans="1:12" x14ac:dyDescent="0.3">
      <c r="A75" t="s">
        <v>20</v>
      </c>
      <c r="B75" t="s">
        <v>3</v>
      </c>
      <c r="C75" t="s">
        <v>4</v>
      </c>
      <c r="D75" s="8">
        <f>Jobs!B48</f>
        <v>152138</v>
      </c>
      <c r="E75" s="8">
        <f>Jobs!C48</f>
        <v>156790</v>
      </c>
      <c r="F75" s="8">
        <f>Jobs!D48</f>
        <v>161726</v>
      </c>
      <c r="G75" s="8">
        <f>Jobs!E48</f>
        <v>169623</v>
      </c>
      <c r="H75" s="8">
        <f>Jobs!F48</f>
        <v>176594</v>
      </c>
      <c r="I75" s="8">
        <f>Jobs!G48</f>
        <v>182552</v>
      </c>
      <c r="J75" s="8">
        <f>Jobs!H48</f>
        <v>187699</v>
      </c>
      <c r="L75" s="2"/>
    </row>
    <row r="76" spans="1:12" x14ac:dyDescent="0.3">
      <c r="A76" t="s">
        <v>45</v>
      </c>
      <c r="B76" t="s">
        <v>3</v>
      </c>
      <c r="C76" t="s">
        <v>4</v>
      </c>
      <c r="D76" s="8">
        <f>Jobs!B49</f>
        <v>1851</v>
      </c>
      <c r="E76" s="8">
        <f>Jobs!C49</f>
        <v>1799</v>
      </c>
      <c r="F76" s="8">
        <f>Jobs!D49</f>
        <v>1748</v>
      </c>
      <c r="G76" s="8">
        <f>Jobs!E49</f>
        <v>1724</v>
      </c>
      <c r="H76" s="8">
        <f>Jobs!F49</f>
        <v>1712</v>
      </c>
      <c r="I76" s="8">
        <f>Jobs!G49</f>
        <v>1710</v>
      </c>
      <c r="J76" s="8">
        <f>Jobs!H49</f>
        <v>1702</v>
      </c>
      <c r="L76" s="2"/>
    </row>
    <row r="77" spans="1:12" x14ac:dyDescent="0.3">
      <c r="A77" t="s">
        <v>46</v>
      </c>
      <c r="B77" t="s">
        <v>3</v>
      </c>
      <c r="C77" t="s">
        <v>4</v>
      </c>
      <c r="D77" s="8">
        <f>Jobs!B50</f>
        <v>7521</v>
      </c>
      <c r="E77" s="8">
        <f>Jobs!C50</f>
        <v>7465</v>
      </c>
      <c r="F77" s="8">
        <f>Jobs!D50</f>
        <v>7445</v>
      </c>
      <c r="G77" s="8">
        <f>Jobs!E50</f>
        <v>7576</v>
      </c>
      <c r="H77" s="8">
        <f>Jobs!F50</f>
        <v>7741</v>
      </c>
      <c r="I77" s="8">
        <f>Jobs!G50</f>
        <v>7935</v>
      </c>
      <c r="J77" s="8">
        <f>Jobs!H50</f>
        <v>8109</v>
      </c>
      <c r="L77" s="2"/>
    </row>
    <row r="78" spans="1:12" x14ac:dyDescent="0.3">
      <c r="A78" t="s">
        <v>21</v>
      </c>
      <c r="B78" t="s">
        <v>3</v>
      </c>
      <c r="C78" t="s">
        <v>4</v>
      </c>
      <c r="D78" s="8">
        <f>Jobs!B51</f>
        <v>18071</v>
      </c>
      <c r="E78" s="8">
        <f>Jobs!C51</f>
        <v>25018</v>
      </c>
      <c r="F78" s="8">
        <f>Jobs!D51</f>
        <v>27761</v>
      </c>
      <c r="G78" s="8">
        <f>Jobs!E51</f>
        <v>30664</v>
      </c>
      <c r="H78" s="8">
        <f>Jobs!F51</f>
        <v>31712</v>
      </c>
      <c r="I78" s="8">
        <f>Jobs!G51</f>
        <v>32515</v>
      </c>
      <c r="J78" s="8">
        <f>Jobs!H51</f>
        <v>33220</v>
      </c>
      <c r="L78" s="2"/>
    </row>
    <row r="79" spans="1:12" x14ac:dyDescent="0.3">
      <c r="A79" t="s">
        <v>47</v>
      </c>
      <c r="B79" t="s">
        <v>3</v>
      </c>
      <c r="C79" t="s">
        <v>4</v>
      </c>
      <c r="D79" s="8">
        <f>Jobs!B52</f>
        <v>8351</v>
      </c>
      <c r="E79" s="8">
        <f>Jobs!C52</f>
        <v>8202</v>
      </c>
      <c r="F79" s="8">
        <f>Jobs!D52</f>
        <v>8140</v>
      </c>
      <c r="G79" s="8">
        <f>Jobs!E52</f>
        <v>8151</v>
      </c>
      <c r="H79" s="8">
        <f>Jobs!F52</f>
        <v>8231</v>
      </c>
      <c r="I79" s="8">
        <f>Jobs!G52</f>
        <v>8370</v>
      </c>
      <c r="J79" s="8">
        <f>Jobs!H52</f>
        <v>8499</v>
      </c>
    </row>
    <row r="80" spans="1:12" x14ac:dyDescent="0.3">
      <c r="A80" t="s">
        <v>22</v>
      </c>
      <c r="B80" t="s">
        <v>3</v>
      </c>
      <c r="C80" t="s">
        <v>4</v>
      </c>
      <c r="D80" s="8">
        <f>Jobs!B53</f>
        <v>9127</v>
      </c>
      <c r="E80" s="8">
        <f>Jobs!C53</f>
        <v>9531</v>
      </c>
      <c r="F80" s="8">
        <f>Jobs!D53</f>
        <v>9865</v>
      </c>
      <c r="G80" s="8">
        <f>Jobs!E53</f>
        <v>10301</v>
      </c>
      <c r="H80" s="8">
        <f>Jobs!F53</f>
        <v>10758</v>
      </c>
      <c r="I80" s="8">
        <f>Jobs!G53</f>
        <v>11201</v>
      </c>
      <c r="J80" s="8">
        <f>Jobs!H53</f>
        <v>11654</v>
      </c>
    </row>
    <row r="81" spans="1:10" x14ac:dyDescent="0.3">
      <c r="A81" t="s">
        <v>48</v>
      </c>
      <c r="B81" t="s">
        <v>3</v>
      </c>
      <c r="C81" t="s">
        <v>4</v>
      </c>
      <c r="D81" s="8">
        <f>Jobs!B54</f>
        <v>8908</v>
      </c>
      <c r="E81" s="8">
        <f>Jobs!C54</f>
        <v>8662</v>
      </c>
      <c r="F81" s="8">
        <f>Jobs!D54</f>
        <v>8579</v>
      </c>
      <c r="G81" s="8">
        <f>Jobs!E54</f>
        <v>8694</v>
      </c>
      <c r="H81" s="8">
        <f>Jobs!F54</f>
        <v>8786</v>
      </c>
      <c r="I81" s="8">
        <f>Jobs!G54</f>
        <v>8787</v>
      </c>
      <c r="J81" s="8">
        <f>Jobs!H54</f>
        <v>8732</v>
      </c>
    </row>
    <row r="82" spans="1:10" x14ac:dyDescent="0.3">
      <c r="A82" t="s">
        <v>49</v>
      </c>
      <c r="B82" t="s">
        <v>3</v>
      </c>
      <c r="C82" t="s">
        <v>4</v>
      </c>
      <c r="D82" s="8">
        <f>Jobs!B55</f>
        <v>1939</v>
      </c>
      <c r="E82" s="8">
        <f>Jobs!C55</f>
        <v>1955</v>
      </c>
      <c r="F82" s="8">
        <f>Jobs!D55</f>
        <v>1963</v>
      </c>
      <c r="G82" s="8">
        <f>Jobs!E55</f>
        <v>2010</v>
      </c>
      <c r="H82" s="8">
        <f>Jobs!F55</f>
        <v>2064</v>
      </c>
      <c r="I82" s="8">
        <f>Jobs!G55</f>
        <v>2123</v>
      </c>
      <c r="J82" s="8">
        <f>Jobs!H55</f>
        <v>2192</v>
      </c>
    </row>
    <row r="83" spans="1:10" x14ac:dyDescent="0.3">
      <c r="A83" t="s">
        <v>50</v>
      </c>
      <c r="B83" t="s">
        <v>3</v>
      </c>
      <c r="C83" t="s">
        <v>4</v>
      </c>
      <c r="D83" s="8">
        <f>Jobs!B56</f>
        <v>1822</v>
      </c>
      <c r="E83" s="8">
        <f>Jobs!C56</f>
        <v>1835</v>
      </c>
      <c r="F83" s="8">
        <f>Jobs!D56</f>
        <v>1825</v>
      </c>
      <c r="G83" s="8">
        <f>Jobs!E56</f>
        <v>1838</v>
      </c>
      <c r="H83" s="8">
        <f>Jobs!F56</f>
        <v>1862</v>
      </c>
      <c r="I83" s="8">
        <f>Jobs!G56</f>
        <v>1893</v>
      </c>
      <c r="J83" s="8">
        <f>Jobs!H56</f>
        <v>1924</v>
      </c>
    </row>
    <row r="84" spans="1:10" x14ac:dyDescent="0.3">
      <c r="A84" t="s">
        <v>23</v>
      </c>
      <c r="B84" t="s">
        <v>3</v>
      </c>
      <c r="C84" t="s">
        <v>4</v>
      </c>
      <c r="D84" s="8">
        <f>Jobs!B57</f>
        <v>4949</v>
      </c>
      <c r="E84" s="8">
        <f>Jobs!C57</f>
        <v>5206</v>
      </c>
      <c r="F84" s="8">
        <f>Jobs!D57</f>
        <v>5461</v>
      </c>
      <c r="G84" s="8">
        <f>Jobs!E57</f>
        <v>5774</v>
      </c>
      <c r="H84" s="8">
        <f>Jobs!F57</f>
        <v>6089</v>
      </c>
      <c r="I84" s="8">
        <f>Jobs!G57</f>
        <v>6379</v>
      </c>
      <c r="J84" s="8">
        <f>Jobs!H57</f>
        <v>6645</v>
      </c>
    </row>
    <row r="85" spans="1:10" x14ac:dyDescent="0.3">
      <c r="A85" t="s">
        <v>51</v>
      </c>
      <c r="B85" t="s">
        <v>3</v>
      </c>
      <c r="C85" t="s">
        <v>4</v>
      </c>
      <c r="D85" s="8">
        <f>Jobs!B58</f>
        <v>7829</v>
      </c>
      <c r="E85" s="8">
        <f>Jobs!C58</f>
        <v>7639</v>
      </c>
      <c r="F85" s="8">
        <f>Jobs!D58</f>
        <v>7507</v>
      </c>
      <c r="G85" s="8">
        <f>Jobs!E58</f>
        <v>7451</v>
      </c>
      <c r="H85" s="8">
        <f>Jobs!F58</f>
        <v>7446</v>
      </c>
      <c r="I85" s="8">
        <f>Jobs!G58</f>
        <v>7442</v>
      </c>
      <c r="J85" s="8">
        <f>Jobs!H58</f>
        <v>7434</v>
      </c>
    </row>
    <row r="86" spans="1:10" x14ac:dyDescent="0.3">
      <c r="A86" t="s">
        <v>24</v>
      </c>
      <c r="B86" t="s">
        <v>3</v>
      </c>
      <c r="C86" t="s">
        <v>4</v>
      </c>
      <c r="D86" s="8">
        <f>Jobs!B59</f>
        <v>14970</v>
      </c>
      <c r="E86" s="8">
        <f>Jobs!C59</f>
        <v>15331</v>
      </c>
      <c r="F86" s="8">
        <f>Jobs!D59</f>
        <v>16334</v>
      </c>
      <c r="G86" s="8">
        <f>Jobs!E59</f>
        <v>17584</v>
      </c>
      <c r="H86" s="8">
        <f>Jobs!F59</f>
        <v>19042</v>
      </c>
      <c r="I86" s="8">
        <f>Jobs!G59</f>
        <v>20637</v>
      </c>
      <c r="J86" s="8">
        <f>Jobs!H59</f>
        <v>22203</v>
      </c>
    </row>
    <row r="87" spans="1:10" x14ac:dyDescent="0.3">
      <c r="A87" t="s">
        <v>53</v>
      </c>
      <c r="B87" t="s">
        <v>65</v>
      </c>
      <c r="C87" t="s">
        <v>15</v>
      </c>
      <c r="D87" s="8">
        <v>1261503.4410983541</v>
      </c>
      <c r="E87" s="8">
        <v>1315849.768810316</v>
      </c>
      <c r="F87" s="8">
        <v>1365890.9289656756</v>
      </c>
      <c r="G87" s="8">
        <v>1438989.9120053146</v>
      </c>
      <c r="H87" s="8">
        <v>1504347.5617117009</v>
      </c>
      <c r="I87" s="8">
        <v>1563711.162216513</v>
      </c>
      <c r="J87" s="8">
        <v>1618862.0830298024</v>
      </c>
    </row>
    <row r="88" spans="1:10" x14ac:dyDescent="0.3">
      <c r="A88" t="s">
        <v>97</v>
      </c>
      <c r="B88" t="s">
        <v>65</v>
      </c>
      <c r="C88" t="s">
        <v>15</v>
      </c>
      <c r="D88" s="8">
        <f>SUM(D89,D90,D92,D94:D95,D97:D99,D101,D103)</f>
        <v>1164244.9991952735</v>
      </c>
      <c r="E88" s="8">
        <f t="shared" ref="E88:J88" si="6">SUM(E89,E90,E92,E94:E95,E97:E99,E101,E103)</f>
        <v>1219799.0514537652</v>
      </c>
      <c r="F88" s="8">
        <f t="shared" si="6"/>
        <v>1270701.7090521839</v>
      </c>
      <c r="G88" s="8">
        <f t="shared" si="6"/>
        <v>1343799.5701907333</v>
      </c>
      <c r="H88" s="8">
        <f t="shared" si="6"/>
        <v>1408645.0082919674</v>
      </c>
      <c r="I88" s="8">
        <f t="shared" si="6"/>
        <v>1467145.8465016081</v>
      </c>
      <c r="J88" s="8">
        <f t="shared" si="6"/>
        <v>1521444.3647376015</v>
      </c>
    </row>
    <row r="89" spans="1:10" x14ac:dyDescent="0.3">
      <c r="A89" t="s">
        <v>18</v>
      </c>
      <c r="B89" t="s">
        <v>65</v>
      </c>
      <c r="C89" t="s">
        <v>15</v>
      </c>
      <c r="D89" s="8">
        <v>114389.92413126798</v>
      </c>
      <c r="E89" s="8">
        <v>131186.63107932551</v>
      </c>
      <c r="F89" s="8">
        <v>145617.01772124134</v>
      </c>
      <c r="G89" s="8">
        <v>160908.83423406418</v>
      </c>
      <c r="H89" s="8">
        <v>175060.97963970108</v>
      </c>
      <c r="I89" s="8">
        <v>188910.12620136855</v>
      </c>
      <c r="J89" s="8">
        <v>203501.86921322648</v>
      </c>
    </row>
    <row r="90" spans="1:10" x14ac:dyDescent="0.3">
      <c r="A90" t="s">
        <v>19</v>
      </c>
      <c r="B90" t="s">
        <v>65</v>
      </c>
      <c r="C90" t="s">
        <v>15</v>
      </c>
      <c r="D90" s="8">
        <v>79491.903285702196</v>
      </c>
      <c r="E90" s="8">
        <v>83279.83018830081</v>
      </c>
      <c r="F90" s="8">
        <v>86584.286321202089</v>
      </c>
      <c r="G90" s="8">
        <v>91240.898754609778</v>
      </c>
      <c r="H90" s="8">
        <v>96110.935497821672</v>
      </c>
      <c r="I90" s="8">
        <v>101063.43016630705</v>
      </c>
      <c r="J90" s="8">
        <v>105823.14125995073</v>
      </c>
    </row>
    <row r="91" spans="1:10" x14ac:dyDescent="0.3">
      <c r="A91" t="s">
        <v>44</v>
      </c>
      <c r="B91" t="s">
        <v>65</v>
      </c>
      <c r="C91" t="s">
        <v>15</v>
      </c>
      <c r="D91" s="8">
        <v>13091.732367403902</v>
      </c>
      <c r="E91" s="8">
        <v>13259.188003093421</v>
      </c>
      <c r="F91" s="8">
        <v>13500.823800426693</v>
      </c>
      <c r="G91" s="8">
        <v>13710.653946818587</v>
      </c>
      <c r="H91" s="8">
        <v>13907.413869142081</v>
      </c>
      <c r="I91" s="8">
        <v>14167.661040924217</v>
      </c>
      <c r="J91" s="8">
        <v>14477.230914798842</v>
      </c>
    </row>
    <row r="92" spans="1:10" x14ac:dyDescent="0.3">
      <c r="A92" t="s">
        <v>20</v>
      </c>
      <c r="B92" t="s">
        <v>65</v>
      </c>
      <c r="C92" t="s">
        <v>15</v>
      </c>
      <c r="D92" s="8">
        <v>725945.30623729003</v>
      </c>
      <c r="E92" s="8">
        <v>752919.55874096463</v>
      </c>
      <c r="F92" s="8">
        <v>778090.40265000088</v>
      </c>
      <c r="G92" s="8">
        <v>816565.89548856055</v>
      </c>
      <c r="H92" s="8">
        <v>849881.72862449905</v>
      </c>
      <c r="I92" s="8">
        <v>878308.77401864063</v>
      </c>
      <c r="J92" s="8">
        <v>902850.64160867722</v>
      </c>
    </row>
    <row r="93" spans="1:10" x14ac:dyDescent="0.3">
      <c r="A93" t="s">
        <v>45</v>
      </c>
      <c r="B93" t="s">
        <v>65</v>
      </c>
      <c r="C93" t="s">
        <v>15</v>
      </c>
      <c r="D93" s="8">
        <v>13165.576372162826</v>
      </c>
      <c r="E93" s="8">
        <v>12798.856736000202</v>
      </c>
      <c r="F93" s="8">
        <v>12451.436021155878</v>
      </c>
      <c r="G93" s="8">
        <v>12298.913021729726</v>
      </c>
      <c r="H93" s="8">
        <v>12215.301794177216</v>
      </c>
      <c r="I93" s="8">
        <v>12198.688124955257</v>
      </c>
      <c r="J93" s="8">
        <v>12149.162639378845</v>
      </c>
    </row>
    <row r="94" spans="1:10" x14ac:dyDescent="0.3">
      <c r="A94" t="s">
        <v>46</v>
      </c>
      <c r="B94" t="s">
        <v>65</v>
      </c>
      <c r="C94" t="s">
        <v>15</v>
      </c>
      <c r="D94" s="8">
        <v>30451.148846560838</v>
      </c>
      <c r="E94" s="8">
        <v>30390.677056344637</v>
      </c>
      <c r="F94" s="8">
        <v>30385.609568602733</v>
      </c>
      <c r="G94" s="8">
        <v>30961.628892251047</v>
      </c>
      <c r="H94" s="8">
        <v>31618.284535444822</v>
      </c>
      <c r="I94" s="8">
        <v>32387.776757952204</v>
      </c>
      <c r="J94" s="8">
        <v>33079.705622734145</v>
      </c>
    </row>
    <row r="95" spans="1:10" x14ac:dyDescent="0.3">
      <c r="A95" t="s">
        <v>21</v>
      </c>
      <c r="B95" t="s">
        <v>65</v>
      </c>
      <c r="C95" t="s">
        <v>15</v>
      </c>
      <c r="D95" s="8">
        <v>89326.340446150032</v>
      </c>
      <c r="E95" s="8">
        <v>93968.446464219334</v>
      </c>
      <c r="F95" s="8">
        <v>97616.573915163099</v>
      </c>
      <c r="G95" s="8">
        <v>105362.44790178182</v>
      </c>
      <c r="H95" s="8">
        <v>110545.55188525499</v>
      </c>
      <c r="I95" s="8">
        <v>114498.05933479617</v>
      </c>
      <c r="J95" s="8">
        <v>117973.54083389559</v>
      </c>
    </row>
    <row r="96" spans="1:10" x14ac:dyDescent="0.3">
      <c r="A96" t="s">
        <v>47</v>
      </c>
      <c r="B96" t="s">
        <v>65</v>
      </c>
      <c r="C96" t="s">
        <v>15</v>
      </c>
      <c r="D96" s="8">
        <v>22430.256181439574</v>
      </c>
      <c r="E96" s="8">
        <v>21992.6941007102</v>
      </c>
      <c r="F96" s="8">
        <v>21829.166970187638</v>
      </c>
      <c r="G96" s="8">
        <v>21858.222502170138</v>
      </c>
      <c r="H96" s="8">
        <v>22077.684490716943</v>
      </c>
      <c r="I96" s="8">
        <v>22454.509730066988</v>
      </c>
      <c r="J96" s="8">
        <v>22802.332174204665</v>
      </c>
    </row>
    <row r="97" spans="1:10" x14ac:dyDescent="0.3">
      <c r="A97" t="s">
        <v>22</v>
      </c>
      <c r="B97" t="s">
        <v>65</v>
      </c>
      <c r="C97" t="s">
        <v>15</v>
      </c>
      <c r="D97" s="8">
        <v>19955.977767099161</v>
      </c>
      <c r="E97" s="8">
        <v>20969.475901170055</v>
      </c>
      <c r="F97" s="8">
        <v>21734.556661799499</v>
      </c>
      <c r="G97" s="8">
        <v>22718.130020440753</v>
      </c>
      <c r="H97" s="8">
        <v>23730.529323951243</v>
      </c>
      <c r="I97" s="8">
        <v>24704.558350955318</v>
      </c>
      <c r="J97" s="8">
        <v>25715.844141484642</v>
      </c>
    </row>
    <row r="98" spans="1:10" x14ac:dyDescent="0.3">
      <c r="A98" t="s">
        <v>48</v>
      </c>
      <c r="B98" t="s">
        <v>65</v>
      </c>
      <c r="C98" t="s">
        <v>15</v>
      </c>
      <c r="D98" s="8">
        <v>27944.845700350405</v>
      </c>
      <c r="E98" s="8">
        <v>27312.38465740329</v>
      </c>
      <c r="F98" s="8">
        <v>27117.487280889552</v>
      </c>
      <c r="G98" s="8">
        <v>27520.589024146786</v>
      </c>
      <c r="H98" s="8">
        <v>27825.412926366211</v>
      </c>
      <c r="I98" s="8">
        <v>27821.499811460162</v>
      </c>
      <c r="J98" s="8">
        <v>27630.683556300926</v>
      </c>
    </row>
    <row r="99" spans="1:10" x14ac:dyDescent="0.3">
      <c r="A99" t="s">
        <v>49</v>
      </c>
      <c r="B99" t="s">
        <v>65</v>
      </c>
      <c r="C99" t="s">
        <v>15</v>
      </c>
      <c r="D99" s="8">
        <v>18028.606555811461</v>
      </c>
      <c r="E99" s="8">
        <v>18537.802222534559</v>
      </c>
      <c r="F99" s="8">
        <v>18719.360910407075</v>
      </c>
      <c r="G99" s="8">
        <v>19231.718851082951</v>
      </c>
      <c r="H99" s="8">
        <v>19721.208595579676</v>
      </c>
      <c r="I99" s="8">
        <v>20252.884750951809</v>
      </c>
      <c r="J99" s="8">
        <v>20862.089327040179</v>
      </c>
    </row>
    <row r="100" spans="1:10" x14ac:dyDescent="0.3">
      <c r="A100" t="s">
        <v>50</v>
      </c>
      <c r="B100" t="s">
        <v>65</v>
      </c>
      <c r="C100" t="s">
        <v>15</v>
      </c>
      <c r="D100" s="8">
        <v>15798.15878283543</v>
      </c>
      <c r="E100" s="8">
        <v>16047.360468890871</v>
      </c>
      <c r="F100" s="8">
        <v>15991.875835526644</v>
      </c>
      <c r="G100" s="8">
        <v>16126.31460254726</v>
      </c>
      <c r="H100" s="8">
        <v>16343.635406205625</v>
      </c>
      <c r="I100" s="8">
        <v>16611.529587405388</v>
      </c>
      <c r="J100" s="8">
        <v>16898.892868333049</v>
      </c>
    </row>
    <row r="101" spans="1:10" x14ac:dyDescent="0.3">
      <c r="A101" t="s">
        <v>23</v>
      </c>
      <c r="B101" t="s">
        <v>65</v>
      </c>
      <c r="C101" t="s">
        <v>15</v>
      </c>
      <c r="D101" s="8">
        <v>25981.51166926232</v>
      </c>
      <c r="E101" s="8">
        <v>27469.339025035071</v>
      </c>
      <c r="F101" s="8">
        <v>28855.664258845565</v>
      </c>
      <c r="G101" s="8">
        <v>30522.985917565511</v>
      </c>
      <c r="H101" s="8">
        <v>32143.420413626558</v>
      </c>
      <c r="I101" s="8">
        <v>33647.224449790068</v>
      </c>
      <c r="J101" s="8">
        <v>35016.47742959905</v>
      </c>
    </row>
    <row r="102" spans="1:10" x14ac:dyDescent="0.3">
      <c r="A102" t="s">
        <v>51</v>
      </c>
      <c r="B102" t="s">
        <v>65</v>
      </c>
      <c r="C102" t="s">
        <v>15</v>
      </c>
      <c r="D102" s="8">
        <v>32772.718199238792</v>
      </c>
      <c r="E102" s="8">
        <v>31952.618047856249</v>
      </c>
      <c r="F102" s="8">
        <v>31415.917286194868</v>
      </c>
      <c r="G102" s="8">
        <v>31196.237741315228</v>
      </c>
      <c r="H102" s="8">
        <v>31158.517859491578</v>
      </c>
      <c r="I102" s="8">
        <v>31132.927231552934</v>
      </c>
      <c r="J102" s="8">
        <v>31090.099695485649</v>
      </c>
    </row>
    <row r="103" spans="1:10" x14ac:dyDescent="0.3">
      <c r="A103" t="s">
        <v>24</v>
      </c>
      <c r="B103" t="s">
        <v>65</v>
      </c>
      <c r="C103" t="s">
        <v>15</v>
      </c>
      <c r="D103" s="8">
        <v>32729.434555779168</v>
      </c>
      <c r="E103" s="8">
        <v>33764.906118467326</v>
      </c>
      <c r="F103" s="8">
        <v>35980.749764032029</v>
      </c>
      <c r="G103" s="8">
        <v>38766.441106230028</v>
      </c>
      <c r="H103" s="8">
        <v>42006.95684972193</v>
      </c>
      <c r="I103" s="8">
        <v>45551.512659386048</v>
      </c>
      <c r="J103" s="8">
        <v>48990.371744692784</v>
      </c>
    </row>
    <row r="104" spans="1:10" x14ac:dyDescent="0.3">
      <c r="A104" t="s">
        <v>53</v>
      </c>
      <c r="B104" t="s">
        <v>3</v>
      </c>
      <c r="C104" t="s">
        <v>5</v>
      </c>
      <c r="D104" s="8">
        <f>SUM(D106:D120)</f>
        <v>519085</v>
      </c>
      <c r="E104" s="8">
        <f t="shared" ref="E104:J104" si="7">SUM(E106:E120)</f>
        <v>541012</v>
      </c>
      <c r="F104" s="8">
        <f t="shared" si="7"/>
        <v>562050</v>
      </c>
      <c r="G104" s="8">
        <f t="shared" si="7"/>
        <v>592725</v>
      </c>
      <c r="H104" s="8">
        <f t="shared" si="7"/>
        <v>620000</v>
      </c>
      <c r="I104" s="8">
        <f t="shared" si="7"/>
        <v>644439</v>
      </c>
      <c r="J104" s="8">
        <f t="shared" si="7"/>
        <v>666893</v>
      </c>
    </row>
    <row r="105" spans="1:10" x14ac:dyDescent="0.3">
      <c r="A105" t="s">
        <v>97</v>
      </c>
      <c r="B105" t="s">
        <v>3</v>
      </c>
      <c r="C105" t="s">
        <v>5</v>
      </c>
      <c r="D105" s="8">
        <f>SUM(D106,D107,D109,D111:D112,D114:D116,D118,D120)</f>
        <v>496438</v>
      </c>
      <c r="E105" s="8">
        <f t="shared" ref="E105:J105" si="8">SUM(E106,E107,E109,E111:E112,E114:E116,E118,E120)</f>
        <v>518705</v>
      </c>
      <c r="F105" s="8">
        <f t="shared" si="8"/>
        <v>539969</v>
      </c>
      <c r="G105" s="8">
        <f t="shared" si="8"/>
        <v>570671</v>
      </c>
      <c r="H105" s="8">
        <f t="shared" si="8"/>
        <v>597837</v>
      </c>
      <c r="I105" s="8">
        <f t="shared" si="8"/>
        <v>622100</v>
      </c>
      <c r="J105" s="8">
        <f t="shared" si="8"/>
        <v>644381</v>
      </c>
    </row>
    <row r="106" spans="1:10" x14ac:dyDescent="0.3">
      <c r="A106" t="s">
        <v>18</v>
      </c>
      <c r="B106" t="s">
        <v>3</v>
      </c>
      <c r="C106" t="s">
        <v>5</v>
      </c>
      <c r="D106" s="8">
        <f>Jobs!B25</f>
        <v>45294</v>
      </c>
      <c r="E106" s="8">
        <f>Jobs!C25</f>
        <v>51459</v>
      </c>
      <c r="F106" s="8">
        <f>Jobs!D25</f>
        <v>57034</v>
      </c>
      <c r="G106" s="8">
        <f>Jobs!E25</f>
        <v>63032</v>
      </c>
      <c r="H106" s="8">
        <f>Jobs!F25</f>
        <v>68700</v>
      </c>
      <c r="I106" s="8">
        <f>Jobs!G25</f>
        <v>74231</v>
      </c>
      <c r="J106" s="8">
        <f>Jobs!H25</f>
        <v>80036</v>
      </c>
    </row>
    <row r="107" spans="1:10" x14ac:dyDescent="0.3">
      <c r="A107" t="s">
        <v>19</v>
      </c>
      <c r="B107" t="s">
        <v>3</v>
      </c>
      <c r="C107" t="s">
        <v>5</v>
      </c>
      <c r="D107" s="8">
        <f>Jobs!B26</f>
        <v>14629</v>
      </c>
      <c r="E107" s="8">
        <f>Jobs!C26</f>
        <v>15180</v>
      </c>
      <c r="F107" s="8">
        <f>Jobs!D26</f>
        <v>15755</v>
      </c>
      <c r="G107" s="8">
        <f>Jobs!E26</f>
        <v>16588</v>
      </c>
      <c r="H107" s="8">
        <f>Jobs!F26</f>
        <v>17484</v>
      </c>
      <c r="I107" s="8">
        <f>Jobs!G26</f>
        <v>18392</v>
      </c>
      <c r="J107" s="8">
        <f>Jobs!H26</f>
        <v>19264</v>
      </c>
    </row>
    <row r="108" spans="1:10" x14ac:dyDescent="0.3">
      <c r="A108" t="s">
        <v>44</v>
      </c>
      <c r="B108" t="s">
        <v>3</v>
      </c>
      <c r="C108" t="s">
        <v>5</v>
      </c>
      <c r="D108" s="8">
        <f>Jobs!B27</f>
        <v>2972</v>
      </c>
      <c r="E108" s="8">
        <f>Jobs!C27</f>
        <v>3009</v>
      </c>
      <c r="F108" s="8">
        <f>Jobs!D27</f>
        <v>3064</v>
      </c>
      <c r="G108" s="8">
        <f>Jobs!E27</f>
        <v>3111</v>
      </c>
      <c r="H108" s="8">
        <f>Jobs!F27</f>
        <v>3159</v>
      </c>
      <c r="I108" s="8">
        <f>Jobs!G27</f>
        <v>3219</v>
      </c>
      <c r="J108" s="8">
        <f>Jobs!H27</f>
        <v>3289</v>
      </c>
    </row>
    <row r="109" spans="1:10" x14ac:dyDescent="0.3">
      <c r="A109" t="s">
        <v>20</v>
      </c>
      <c r="B109" t="s">
        <v>3</v>
      </c>
      <c r="C109" t="s">
        <v>5</v>
      </c>
      <c r="D109" s="8">
        <f>Jobs!B28</f>
        <v>374910</v>
      </c>
      <c r="E109" s="8">
        <f>Jobs!C28</f>
        <v>386374</v>
      </c>
      <c r="F109" s="8">
        <f>Jobs!D28</f>
        <v>398536</v>
      </c>
      <c r="G109" s="8">
        <f>Jobs!E28</f>
        <v>417998</v>
      </c>
      <c r="H109" s="8">
        <f>Jobs!F28</f>
        <v>435172</v>
      </c>
      <c r="I109" s="8">
        <f>Jobs!G28</f>
        <v>449857</v>
      </c>
      <c r="J109" s="8">
        <f>Jobs!H28</f>
        <v>462543</v>
      </c>
    </row>
    <row r="110" spans="1:10" x14ac:dyDescent="0.3">
      <c r="A110" t="s">
        <v>45</v>
      </c>
      <c r="B110" t="s">
        <v>3</v>
      </c>
      <c r="C110" t="s">
        <v>5</v>
      </c>
      <c r="D110" s="8">
        <f>Jobs!B29</f>
        <v>2109</v>
      </c>
      <c r="E110" s="8">
        <f>Jobs!C29</f>
        <v>2049</v>
      </c>
      <c r="F110" s="8">
        <f>Jobs!D29</f>
        <v>1991</v>
      </c>
      <c r="G110" s="8">
        <f>Jobs!E29</f>
        <v>1964</v>
      </c>
      <c r="H110" s="8">
        <f>Jobs!F29</f>
        <v>1951</v>
      </c>
      <c r="I110" s="8">
        <f>Jobs!G29</f>
        <v>1948</v>
      </c>
      <c r="J110" s="8">
        <f>Jobs!H29</f>
        <v>1938</v>
      </c>
    </row>
    <row r="111" spans="1:10" x14ac:dyDescent="0.3">
      <c r="A111" t="s">
        <v>46</v>
      </c>
      <c r="B111" t="s">
        <v>3</v>
      </c>
      <c r="C111" t="s">
        <v>5</v>
      </c>
      <c r="D111" s="8">
        <f>Jobs!B30</f>
        <v>5707</v>
      </c>
      <c r="E111" s="8">
        <f>Jobs!C30</f>
        <v>5665</v>
      </c>
      <c r="F111" s="8">
        <f>Jobs!D30</f>
        <v>5649</v>
      </c>
      <c r="G111" s="8">
        <f>Jobs!E30</f>
        <v>5749</v>
      </c>
      <c r="H111" s="8">
        <f>Jobs!F30</f>
        <v>5876</v>
      </c>
      <c r="I111" s="8">
        <f>Jobs!G30</f>
        <v>6023</v>
      </c>
      <c r="J111" s="8">
        <f>Jobs!H30</f>
        <v>6154</v>
      </c>
    </row>
    <row r="112" spans="1:10" x14ac:dyDescent="0.3">
      <c r="A112" t="s">
        <v>21</v>
      </c>
      <c r="B112" t="s">
        <v>3</v>
      </c>
      <c r="C112" t="s">
        <v>5</v>
      </c>
      <c r="D112" s="8">
        <f>Jobs!B31</f>
        <v>23241</v>
      </c>
      <c r="E112" s="8">
        <f>Jobs!C31</f>
        <v>26769</v>
      </c>
      <c r="F112" s="8">
        <f>Jobs!D31</f>
        <v>28496</v>
      </c>
      <c r="G112" s="8">
        <f>Jobs!E31</f>
        <v>31029</v>
      </c>
      <c r="H112" s="8">
        <f>Jobs!F31</f>
        <v>32376</v>
      </c>
      <c r="I112" s="8">
        <f>Jobs!G31</f>
        <v>33407</v>
      </c>
      <c r="J112" s="8">
        <f>Jobs!H31</f>
        <v>34314</v>
      </c>
    </row>
    <row r="113" spans="1:10" x14ac:dyDescent="0.3">
      <c r="A113" t="s">
        <v>47</v>
      </c>
      <c r="B113" t="s">
        <v>3</v>
      </c>
      <c r="C113" t="s">
        <v>5</v>
      </c>
      <c r="D113" s="8">
        <f>Jobs!B32</f>
        <v>5201</v>
      </c>
      <c r="E113" s="8">
        <f>Jobs!C32</f>
        <v>5109</v>
      </c>
      <c r="F113" s="8">
        <f>Jobs!D32</f>
        <v>5071</v>
      </c>
      <c r="G113" s="8">
        <f>Jobs!E32</f>
        <v>5077</v>
      </c>
      <c r="H113" s="8">
        <f>Jobs!F32</f>
        <v>5128</v>
      </c>
      <c r="I113" s="8">
        <f>Jobs!G32</f>
        <v>5214</v>
      </c>
      <c r="J113" s="8">
        <f>Jobs!H32</f>
        <v>5294</v>
      </c>
    </row>
    <row r="114" spans="1:10" x14ac:dyDescent="0.3">
      <c r="A114" t="s">
        <v>22</v>
      </c>
      <c r="B114" t="s">
        <v>3</v>
      </c>
      <c r="C114" t="s">
        <v>5</v>
      </c>
      <c r="D114" s="8">
        <f>Jobs!B33</f>
        <v>5037</v>
      </c>
      <c r="E114" s="8">
        <f>Jobs!C33</f>
        <v>5260</v>
      </c>
      <c r="F114" s="8">
        <f>Jobs!D33</f>
        <v>5444</v>
      </c>
      <c r="G114" s="8">
        <f>Jobs!E33</f>
        <v>5684</v>
      </c>
      <c r="H114" s="8">
        <f>Jobs!F33</f>
        <v>5938</v>
      </c>
      <c r="I114" s="8">
        <f>Jobs!G33</f>
        <v>6180</v>
      </c>
      <c r="J114" s="8">
        <f>Jobs!H33</f>
        <v>6431</v>
      </c>
    </row>
    <row r="115" spans="1:10" x14ac:dyDescent="0.3">
      <c r="A115" t="s">
        <v>48</v>
      </c>
      <c r="B115" t="s">
        <v>3</v>
      </c>
      <c r="C115" t="s">
        <v>5</v>
      </c>
      <c r="D115" s="8">
        <f>Jobs!B34</f>
        <v>7759</v>
      </c>
      <c r="E115" s="8">
        <f>Jobs!C34</f>
        <v>7543</v>
      </c>
      <c r="F115" s="8">
        <f>Jobs!D34</f>
        <v>7473</v>
      </c>
      <c r="G115" s="8">
        <f>Jobs!E34</f>
        <v>7572</v>
      </c>
      <c r="H115" s="8">
        <f>Jobs!F34</f>
        <v>7652</v>
      </c>
      <c r="I115" s="8">
        <f>Jobs!G34</f>
        <v>7651</v>
      </c>
      <c r="J115" s="8">
        <f>Jobs!H34</f>
        <v>7605</v>
      </c>
    </row>
    <row r="116" spans="1:10" x14ac:dyDescent="0.3">
      <c r="A116" t="s">
        <v>49</v>
      </c>
      <c r="B116" t="s">
        <v>3</v>
      </c>
      <c r="C116" t="s">
        <v>5</v>
      </c>
      <c r="D116" s="8">
        <f>Jobs!B35</f>
        <v>1943</v>
      </c>
      <c r="E116" s="8">
        <f>Jobs!C35</f>
        <v>1958</v>
      </c>
      <c r="F116" s="8">
        <f>Jobs!D35</f>
        <v>1967</v>
      </c>
      <c r="G116" s="8">
        <f>Jobs!E35</f>
        <v>2014</v>
      </c>
      <c r="H116" s="8">
        <f>Jobs!F35</f>
        <v>2067</v>
      </c>
      <c r="I116" s="8">
        <f>Jobs!G35</f>
        <v>2127</v>
      </c>
      <c r="J116" s="8">
        <f>Jobs!H35</f>
        <v>2196</v>
      </c>
    </row>
    <row r="117" spans="1:10" x14ac:dyDescent="0.3">
      <c r="A117" t="s">
        <v>50</v>
      </c>
      <c r="B117" t="s">
        <v>3</v>
      </c>
      <c r="C117" t="s">
        <v>5</v>
      </c>
      <c r="D117" s="8">
        <f>Jobs!B36</f>
        <v>2328</v>
      </c>
      <c r="E117" s="8">
        <f>Jobs!C36</f>
        <v>2346</v>
      </c>
      <c r="F117" s="8">
        <f>Jobs!D36</f>
        <v>2332</v>
      </c>
      <c r="G117" s="8">
        <f>Jobs!E36</f>
        <v>2350</v>
      </c>
      <c r="H117" s="8">
        <f>Jobs!F36</f>
        <v>2380</v>
      </c>
      <c r="I117" s="8">
        <f>Jobs!G36</f>
        <v>2418</v>
      </c>
      <c r="J117" s="8">
        <f>Jobs!H36</f>
        <v>2460</v>
      </c>
    </row>
    <row r="118" spans="1:10" x14ac:dyDescent="0.3">
      <c r="A118" t="s">
        <v>23</v>
      </c>
      <c r="B118" t="s">
        <v>3</v>
      </c>
      <c r="C118" t="s">
        <v>5</v>
      </c>
      <c r="D118" s="8">
        <f>Jobs!B37</f>
        <v>5248</v>
      </c>
      <c r="E118" s="8">
        <f>Jobs!C37</f>
        <v>5521</v>
      </c>
      <c r="F118" s="8">
        <f>Jobs!D37</f>
        <v>5792</v>
      </c>
      <c r="G118" s="8">
        <f>Jobs!E37</f>
        <v>6122</v>
      </c>
      <c r="H118" s="8">
        <f>Jobs!F37</f>
        <v>6456</v>
      </c>
      <c r="I118" s="8">
        <f>Jobs!G37</f>
        <v>6764</v>
      </c>
      <c r="J118" s="8">
        <f>Jobs!H37</f>
        <v>7046</v>
      </c>
    </row>
    <row r="119" spans="1:10" x14ac:dyDescent="0.3">
      <c r="A119" t="s">
        <v>51</v>
      </c>
      <c r="B119" t="s">
        <v>3</v>
      </c>
      <c r="C119" t="s">
        <v>5</v>
      </c>
      <c r="D119" s="8">
        <f>Jobs!B38</f>
        <v>10037</v>
      </c>
      <c r="E119" s="8">
        <f>Jobs!C38</f>
        <v>9794</v>
      </c>
      <c r="F119" s="8">
        <f>Jobs!D38</f>
        <v>9623</v>
      </c>
      <c r="G119" s="8">
        <f>Jobs!E38</f>
        <v>9552</v>
      </c>
      <c r="H119" s="8">
        <f>Jobs!F38</f>
        <v>9545</v>
      </c>
      <c r="I119" s="8">
        <f>Jobs!G38</f>
        <v>9540</v>
      </c>
      <c r="J119" s="8">
        <f>Jobs!H38</f>
        <v>9531</v>
      </c>
    </row>
    <row r="120" spans="1:10" x14ac:dyDescent="0.3">
      <c r="A120" t="s">
        <v>24</v>
      </c>
      <c r="B120" t="s">
        <v>3</v>
      </c>
      <c r="C120" t="s">
        <v>5</v>
      </c>
      <c r="D120" s="8">
        <f>Jobs!B39</f>
        <v>12670</v>
      </c>
      <c r="E120" s="8">
        <f>Jobs!C39</f>
        <v>12976</v>
      </c>
      <c r="F120" s="8">
        <f>Jobs!D39</f>
        <v>13823</v>
      </c>
      <c r="G120" s="8">
        <f>Jobs!E39</f>
        <v>14883</v>
      </c>
      <c r="H120" s="8">
        <f>Jobs!F39</f>
        <v>16116</v>
      </c>
      <c r="I120" s="8">
        <f>Jobs!G39</f>
        <v>17468</v>
      </c>
      <c r="J120" s="8">
        <f>Jobs!H39</f>
        <v>18792</v>
      </c>
    </row>
    <row r="121" spans="1:10" x14ac:dyDescent="0.3">
      <c r="A121" t="s">
        <v>53</v>
      </c>
      <c r="B121" t="s">
        <v>3</v>
      </c>
      <c r="C121" t="s">
        <v>6</v>
      </c>
      <c r="D121" s="8">
        <f>SUM(D123:D137)</f>
        <v>208181</v>
      </c>
      <c r="E121" s="8">
        <f t="shared" ref="E121:J121" si="9">SUM(E123:E137)</f>
        <v>214773</v>
      </c>
      <c r="F121" s="8">
        <f t="shared" si="9"/>
        <v>221866</v>
      </c>
      <c r="G121" s="8">
        <f t="shared" si="9"/>
        <v>233025</v>
      </c>
      <c r="H121" s="8">
        <f t="shared" si="9"/>
        <v>243141</v>
      </c>
      <c r="I121" s="8">
        <f t="shared" si="9"/>
        <v>252167</v>
      </c>
      <c r="J121" s="8">
        <f t="shared" si="9"/>
        <v>260363</v>
      </c>
    </row>
    <row r="122" spans="1:10" x14ac:dyDescent="0.3">
      <c r="A122" t="s">
        <v>97</v>
      </c>
      <c r="B122" t="s">
        <v>3</v>
      </c>
      <c r="C122" t="s">
        <v>6</v>
      </c>
      <c r="D122" s="8">
        <f>SUM(D123,D124,D126,D128:D129,D131:D133,D135,D137)</f>
        <v>194454</v>
      </c>
      <c r="E122" s="8">
        <f t="shared" ref="E122:J122" si="10">SUM(E123,E124,E126,E128:E129,E131:E133,E135,E137)</f>
        <v>201264</v>
      </c>
      <c r="F122" s="8">
        <f t="shared" si="10"/>
        <v>208500</v>
      </c>
      <c r="G122" s="8">
        <f t="shared" si="10"/>
        <v>219675</v>
      </c>
      <c r="H122" s="8">
        <f t="shared" si="10"/>
        <v>229730</v>
      </c>
      <c r="I122" s="8">
        <f t="shared" si="10"/>
        <v>238655</v>
      </c>
      <c r="J122" s="8">
        <f t="shared" si="10"/>
        <v>246750</v>
      </c>
    </row>
    <row r="123" spans="1:10" x14ac:dyDescent="0.3">
      <c r="A123" t="s">
        <v>18</v>
      </c>
      <c r="B123" t="s">
        <v>3</v>
      </c>
      <c r="C123" t="s">
        <v>6</v>
      </c>
      <c r="D123" s="8">
        <f>Jobs!B105</f>
        <v>11835</v>
      </c>
      <c r="E123" s="8">
        <f>Jobs!C105</f>
        <v>13444</v>
      </c>
      <c r="F123" s="8">
        <f>Jobs!D105</f>
        <v>14900</v>
      </c>
      <c r="G123" s="8">
        <f>Jobs!E105</f>
        <v>16467</v>
      </c>
      <c r="H123" s="8">
        <f>Jobs!F105</f>
        <v>17948</v>
      </c>
      <c r="I123" s="8">
        <f>Jobs!G105</f>
        <v>19393</v>
      </c>
      <c r="J123" s="8">
        <f>Jobs!H105</f>
        <v>20909</v>
      </c>
    </row>
    <row r="124" spans="1:10" x14ac:dyDescent="0.3">
      <c r="A124" t="s">
        <v>19</v>
      </c>
      <c r="B124" t="s">
        <v>3</v>
      </c>
      <c r="C124" t="s">
        <v>6</v>
      </c>
      <c r="D124" s="8">
        <f>Jobs!B106</f>
        <v>8328</v>
      </c>
      <c r="E124" s="8">
        <f>Jobs!C106</f>
        <v>8642</v>
      </c>
      <c r="F124" s="8">
        <f>Jobs!D106</f>
        <v>8969</v>
      </c>
      <c r="G124" s="8">
        <f>Jobs!E106</f>
        <v>9443</v>
      </c>
      <c r="H124" s="8">
        <f>Jobs!F106</f>
        <v>9952</v>
      </c>
      <c r="I124" s="8">
        <f>Jobs!G106</f>
        <v>10469</v>
      </c>
      <c r="J124" s="8">
        <f>Jobs!H106</f>
        <v>10966</v>
      </c>
    </row>
    <row r="125" spans="1:10" x14ac:dyDescent="0.3">
      <c r="A125" t="s">
        <v>44</v>
      </c>
      <c r="B125" t="s">
        <v>3</v>
      </c>
      <c r="C125" t="s">
        <v>6</v>
      </c>
      <c r="D125" s="8">
        <f>Jobs!B107</f>
        <v>1721</v>
      </c>
      <c r="E125" s="8">
        <f>Jobs!C107</f>
        <v>1743</v>
      </c>
      <c r="F125" s="8">
        <f>Jobs!D107</f>
        <v>1774</v>
      </c>
      <c r="G125" s="8">
        <f>Jobs!E107</f>
        <v>1801</v>
      </c>
      <c r="H125" s="8">
        <f>Jobs!F107</f>
        <v>1829</v>
      </c>
      <c r="I125" s="8">
        <f>Jobs!G107</f>
        <v>1865</v>
      </c>
      <c r="J125" s="8">
        <f>Jobs!H107</f>
        <v>1905</v>
      </c>
    </row>
    <row r="126" spans="1:10" x14ac:dyDescent="0.3">
      <c r="A126" t="s">
        <v>20</v>
      </c>
      <c r="B126" t="s">
        <v>3</v>
      </c>
      <c r="C126" t="s">
        <v>6</v>
      </c>
      <c r="D126" s="8">
        <f>Jobs!B108</f>
        <v>143647</v>
      </c>
      <c r="E126" s="8">
        <f>Jobs!C108</f>
        <v>148040</v>
      </c>
      <c r="F126" s="8">
        <f>Jobs!D108</f>
        <v>152699</v>
      </c>
      <c r="G126" s="8">
        <f>Jobs!E108</f>
        <v>160157</v>
      </c>
      <c r="H126" s="8">
        <f>Jobs!F108</f>
        <v>166737</v>
      </c>
      <c r="I126" s="8">
        <f>Jobs!G108</f>
        <v>172363</v>
      </c>
      <c r="J126" s="8">
        <f>Jobs!H108</f>
        <v>177223</v>
      </c>
    </row>
    <row r="127" spans="1:10" x14ac:dyDescent="0.3">
      <c r="A127" t="s">
        <v>45</v>
      </c>
      <c r="B127" t="s">
        <v>3</v>
      </c>
      <c r="C127" t="s">
        <v>6</v>
      </c>
      <c r="D127" s="8">
        <f>Jobs!B109</f>
        <v>1410</v>
      </c>
      <c r="E127" s="8">
        <f>Jobs!C109</f>
        <v>1369</v>
      </c>
      <c r="F127" s="8">
        <f>Jobs!D109</f>
        <v>1329</v>
      </c>
      <c r="G127" s="8">
        <f>Jobs!E109</f>
        <v>1313</v>
      </c>
      <c r="H127" s="8">
        <f>Jobs!F109</f>
        <v>1303</v>
      </c>
      <c r="I127" s="8">
        <f>Jobs!G109</f>
        <v>1301</v>
      </c>
      <c r="J127" s="8">
        <f>Jobs!H109</f>
        <v>1295</v>
      </c>
    </row>
    <row r="128" spans="1:10" x14ac:dyDescent="0.3">
      <c r="A128" t="s">
        <v>46</v>
      </c>
      <c r="B128" t="s">
        <v>3</v>
      </c>
      <c r="C128" t="s">
        <v>6</v>
      </c>
      <c r="D128" s="8">
        <f>Jobs!B110</f>
        <v>5376</v>
      </c>
      <c r="E128" s="8">
        <f>Jobs!C110</f>
        <v>5335</v>
      </c>
      <c r="F128" s="8">
        <f>Jobs!D110</f>
        <v>5320</v>
      </c>
      <c r="G128" s="8">
        <f>Jobs!E110</f>
        <v>5415</v>
      </c>
      <c r="H128" s="8">
        <f>Jobs!F110</f>
        <v>5534</v>
      </c>
      <c r="I128" s="8">
        <f>Jobs!G110</f>
        <v>5672</v>
      </c>
      <c r="J128" s="8">
        <f>Jobs!H110</f>
        <v>5796</v>
      </c>
    </row>
    <row r="129" spans="1:10" x14ac:dyDescent="0.3">
      <c r="A129" t="s">
        <v>21</v>
      </c>
      <c r="B129" t="s">
        <v>3</v>
      </c>
      <c r="C129" t="s">
        <v>6</v>
      </c>
      <c r="D129" s="8">
        <f>Jobs!B111</f>
        <v>11009</v>
      </c>
      <c r="E129" s="8">
        <f>Jobs!C111</f>
        <v>11346</v>
      </c>
      <c r="F129" s="8">
        <f>Jobs!D111</f>
        <v>11719</v>
      </c>
      <c r="G129" s="8">
        <f>Jobs!E111</f>
        <v>12622</v>
      </c>
      <c r="H129" s="8">
        <f>Jobs!F111</f>
        <v>13260</v>
      </c>
      <c r="I129" s="8">
        <f>Jobs!G111</f>
        <v>13748</v>
      </c>
      <c r="J129" s="8">
        <f>Jobs!H111</f>
        <v>14180</v>
      </c>
    </row>
    <row r="130" spans="1:10" x14ac:dyDescent="0.3">
      <c r="A130" t="s">
        <v>47</v>
      </c>
      <c r="B130" t="s">
        <v>3</v>
      </c>
      <c r="C130" t="s">
        <v>6</v>
      </c>
      <c r="D130" s="8">
        <f>Jobs!B112</f>
        <v>3063</v>
      </c>
      <c r="E130" s="8">
        <f>Jobs!C112</f>
        <v>3008</v>
      </c>
      <c r="F130" s="8">
        <f>Jobs!D112</f>
        <v>2985</v>
      </c>
      <c r="G130" s="8">
        <f>Jobs!E112</f>
        <v>2991</v>
      </c>
      <c r="H130" s="8">
        <f>Jobs!F112</f>
        <v>3020</v>
      </c>
      <c r="I130" s="8">
        <f>Jobs!G112</f>
        <v>3071</v>
      </c>
      <c r="J130" s="8">
        <f>Jobs!H112</f>
        <v>3119</v>
      </c>
    </row>
    <row r="131" spans="1:10" x14ac:dyDescent="0.3">
      <c r="A131" t="s">
        <v>22</v>
      </c>
      <c r="B131" t="s">
        <v>3</v>
      </c>
      <c r="C131" t="s">
        <v>6</v>
      </c>
      <c r="D131" s="8">
        <f>Jobs!B113</f>
        <v>1987</v>
      </c>
      <c r="E131" s="8">
        <f>Jobs!C113</f>
        <v>2073</v>
      </c>
      <c r="F131" s="8">
        <f>Jobs!D113</f>
        <v>2147</v>
      </c>
      <c r="G131" s="8">
        <f>Jobs!E113</f>
        <v>2241</v>
      </c>
      <c r="H131" s="8">
        <f>Jobs!F113</f>
        <v>2341</v>
      </c>
      <c r="I131" s="8">
        <f>Jobs!G113</f>
        <v>2438</v>
      </c>
      <c r="J131" s="8">
        <f>Jobs!H113</f>
        <v>2536</v>
      </c>
    </row>
    <row r="132" spans="1:10" x14ac:dyDescent="0.3">
      <c r="A132" t="s">
        <v>48</v>
      </c>
      <c r="B132" t="s">
        <v>3</v>
      </c>
      <c r="C132" t="s">
        <v>6</v>
      </c>
      <c r="D132" s="8">
        <f>Jobs!B114</f>
        <v>4508</v>
      </c>
      <c r="E132" s="8">
        <f>Jobs!C114</f>
        <v>4383</v>
      </c>
      <c r="F132" s="8">
        <f>Jobs!D114</f>
        <v>4341</v>
      </c>
      <c r="G132" s="8">
        <f>Jobs!E114</f>
        <v>4400</v>
      </c>
      <c r="H132" s="8">
        <f>Jobs!F114</f>
        <v>4446</v>
      </c>
      <c r="I132" s="8">
        <f>Jobs!G114</f>
        <v>4446</v>
      </c>
      <c r="J132" s="8">
        <f>Jobs!H114</f>
        <v>4420</v>
      </c>
    </row>
    <row r="133" spans="1:10" x14ac:dyDescent="0.3">
      <c r="A133" t="s">
        <v>49</v>
      </c>
      <c r="B133" t="s">
        <v>3</v>
      </c>
      <c r="C133" t="s">
        <v>6</v>
      </c>
      <c r="D133" s="8">
        <f>Jobs!B115</f>
        <v>1230</v>
      </c>
      <c r="E133" s="8">
        <f>Jobs!C115</f>
        <v>1238</v>
      </c>
      <c r="F133" s="8">
        <f>Jobs!D115</f>
        <v>1243</v>
      </c>
      <c r="G133" s="8">
        <f>Jobs!E115</f>
        <v>1274</v>
      </c>
      <c r="H133" s="8">
        <f>Jobs!F115</f>
        <v>1307</v>
      </c>
      <c r="I133" s="8">
        <f>Jobs!G115</f>
        <v>1345</v>
      </c>
      <c r="J133" s="8">
        <f>Jobs!H115</f>
        <v>1388</v>
      </c>
    </row>
    <row r="134" spans="1:10" x14ac:dyDescent="0.3">
      <c r="A134" t="s">
        <v>50</v>
      </c>
      <c r="B134" t="s">
        <v>3</v>
      </c>
      <c r="C134" t="s">
        <v>6</v>
      </c>
      <c r="D134" s="8">
        <f>Jobs!B116</f>
        <v>1328</v>
      </c>
      <c r="E134" s="8">
        <f>Jobs!C116</f>
        <v>1336</v>
      </c>
      <c r="F134" s="8">
        <f>Jobs!D116</f>
        <v>1329</v>
      </c>
      <c r="G134" s="8">
        <f>Jobs!E116</f>
        <v>1340</v>
      </c>
      <c r="H134" s="8">
        <f>Jobs!F116</f>
        <v>1357</v>
      </c>
      <c r="I134" s="8">
        <f>Jobs!G116</f>
        <v>1378</v>
      </c>
      <c r="J134" s="8">
        <f>Jobs!H116</f>
        <v>1402</v>
      </c>
    </row>
    <row r="135" spans="1:10" x14ac:dyDescent="0.3">
      <c r="A135" t="s">
        <v>23</v>
      </c>
      <c r="B135" t="s">
        <v>3</v>
      </c>
      <c r="C135" t="s">
        <v>6</v>
      </c>
      <c r="D135" s="8">
        <f>Jobs!B117</f>
        <v>2554</v>
      </c>
      <c r="E135" s="8">
        <f>Jobs!C117</f>
        <v>2687</v>
      </c>
      <c r="F135" s="8">
        <f>Jobs!D117</f>
        <v>2819</v>
      </c>
      <c r="G135" s="8">
        <f>Jobs!E117</f>
        <v>2981</v>
      </c>
      <c r="H135" s="8">
        <f>Jobs!F117</f>
        <v>3142</v>
      </c>
      <c r="I135" s="8">
        <f>Jobs!G117</f>
        <v>3293</v>
      </c>
      <c r="J135" s="8">
        <f>Jobs!H117</f>
        <v>3429</v>
      </c>
    </row>
    <row r="136" spans="1:10" x14ac:dyDescent="0.3">
      <c r="A136" t="s">
        <v>51</v>
      </c>
      <c r="B136" t="s">
        <v>3</v>
      </c>
      <c r="C136" t="s">
        <v>6</v>
      </c>
      <c r="D136" s="8">
        <f>Jobs!B118</f>
        <v>6205</v>
      </c>
      <c r="E136" s="8">
        <f>Jobs!C118</f>
        <v>6053</v>
      </c>
      <c r="F136" s="8">
        <f>Jobs!D118</f>
        <v>5949</v>
      </c>
      <c r="G136" s="8">
        <f>Jobs!E118</f>
        <v>5905</v>
      </c>
      <c r="H136" s="8">
        <f>Jobs!F118</f>
        <v>5902</v>
      </c>
      <c r="I136" s="8">
        <f>Jobs!G118</f>
        <v>5897</v>
      </c>
      <c r="J136" s="8">
        <f>Jobs!H118</f>
        <v>5892</v>
      </c>
    </row>
    <row r="137" spans="1:10" x14ac:dyDescent="0.3">
      <c r="A137" t="s">
        <v>24</v>
      </c>
      <c r="B137" t="s">
        <v>3</v>
      </c>
      <c r="C137" t="s">
        <v>6</v>
      </c>
      <c r="D137" s="8">
        <f>Jobs!B119</f>
        <v>3980</v>
      </c>
      <c r="E137" s="8">
        <f>Jobs!C119</f>
        <v>4076</v>
      </c>
      <c r="F137" s="8">
        <f>Jobs!D119</f>
        <v>4343</v>
      </c>
      <c r="G137" s="8">
        <f>Jobs!E119</f>
        <v>4675</v>
      </c>
      <c r="H137" s="8">
        <f>Jobs!F119</f>
        <v>5063</v>
      </c>
      <c r="I137" s="8">
        <f>Jobs!G119</f>
        <v>5488</v>
      </c>
      <c r="J137" s="8">
        <f>Jobs!H119</f>
        <v>5903</v>
      </c>
    </row>
    <row r="138" spans="1:10" x14ac:dyDescent="0.3">
      <c r="A138" t="s">
        <v>53</v>
      </c>
      <c r="B138" t="s">
        <v>10</v>
      </c>
      <c r="C138" t="s">
        <v>10</v>
      </c>
      <c r="D138" s="8">
        <v>2421159</v>
      </c>
      <c r="E138" s="8">
        <v>2555315</v>
      </c>
      <c r="F138" s="8">
        <v>2676926</v>
      </c>
      <c r="G138" s="8">
        <v>2827180</v>
      </c>
      <c r="H138" s="8">
        <v>2944699</v>
      </c>
      <c r="I138" s="8">
        <v>3045854</v>
      </c>
      <c r="J138" s="8">
        <v>3147011</v>
      </c>
    </row>
    <row r="139" spans="1:10" x14ac:dyDescent="0.3">
      <c r="A139" t="s">
        <v>97</v>
      </c>
      <c r="B139" t="s">
        <v>10</v>
      </c>
      <c r="C139" t="s">
        <v>10</v>
      </c>
      <c r="D139" s="8">
        <f>SUM(D140,D141,D143,D145:D146,D148:D150,D152,D154)</f>
        <v>2205732</v>
      </c>
      <c r="E139" s="8">
        <f t="shared" ref="E139:J139" si="11">SUM(E140,E141,E143,E145:E146,E148:E150,E152,E154)</f>
        <v>2338387</v>
      </c>
      <c r="F139" s="8">
        <f t="shared" si="11"/>
        <v>2459127</v>
      </c>
      <c r="G139" s="8">
        <f t="shared" si="11"/>
        <v>2608147</v>
      </c>
      <c r="H139" s="8">
        <f t="shared" si="11"/>
        <v>2724853</v>
      </c>
      <c r="I139" s="8">
        <f t="shared" si="11"/>
        <v>2825397</v>
      </c>
      <c r="J139" s="8">
        <f t="shared" si="11"/>
        <v>2925943</v>
      </c>
    </row>
    <row r="140" spans="1:10" x14ac:dyDescent="0.3">
      <c r="A140" t="s">
        <v>18</v>
      </c>
      <c r="B140" t="s">
        <v>10</v>
      </c>
      <c r="C140" t="s">
        <v>10</v>
      </c>
      <c r="D140" s="8">
        <v>215062</v>
      </c>
      <c r="E140" s="8">
        <v>247016</v>
      </c>
      <c r="F140" s="8">
        <v>277484</v>
      </c>
      <c r="G140" s="8">
        <v>310863</v>
      </c>
      <c r="H140" s="8">
        <v>340917</v>
      </c>
      <c r="I140" s="8">
        <v>369307</v>
      </c>
      <c r="J140" s="8">
        <v>397697</v>
      </c>
    </row>
    <row r="141" spans="1:10" x14ac:dyDescent="0.3">
      <c r="A141" t="s">
        <v>19</v>
      </c>
      <c r="B141" t="s">
        <v>10</v>
      </c>
      <c r="C141" t="s">
        <v>10</v>
      </c>
      <c r="D141" s="8">
        <v>159357</v>
      </c>
      <c r="E141" s="8">
        <v>169183</v>
      </c>
      <c r="F141" s="8">
        <v>178449</v>
      </c>
      <c r="G141" s="8">
        <v>188820</v>
      </c>
      <c r="H141" s="8">
        <v>197928</v>
      </c>
      <c r="I141" s="8">
        <v>206404</v>
      </c>
      <c r="J141" s="8">
        <v>214880</v>
      </c>
    </row>
    <row r="142" spans="1:10" x14ac:dyDescent="0.3">
      <c r="A142" t="s">
        <v>44</v>
      </c>
      <c r="B142" t="s">
        <v>10</v>
      </c>
      <c r="C142" t="s">
        <v>10</v>
      </c>
      <c r="D142" s="8">
        <v>28939</v>
      </c>
      <c r="E142" s="8">
        <v>29419</v>
      </c>
      <c r="F142" s="8">
        <v>30011</v>
      </c>
      <c r="G142" s="8">
        <v>30634</v>
      </c>
      <c r="H142" s="8">
        <v>31220</v>
      </c>
      <c r="I142" s="8">
        <v>31790</v>
      </c>
      <c r="J142" s="8">
        <v>32360</v>
      </c>
    </row>
    <row r="143" spans="1:10" x14ac:dyDescent="0.3">
      <c r="A143" t="s">
        <v>20</v>
      </c>
      <c r="B143" t="s">
        <v>10</v>
      </c>
      <c r="C143" t="s">
        <v>10</v>
      </c>
      <c r="D143" s="8">
        <v>1324013</v>
      </c>
      <c r="E143" s="8">
        <v>1390127</v>
      </c>
      <c r="F143" s="8">
        <v>1447090</v>
      </c>
      <c r="G143" s="8">
        <v>1519844</v>
      </c>
      <c r="H143" s="8">
        <v>1574551</v>
      </c>
      <c r="I143" s="8">
        <v>1620232</v>
      </c>
      <c r="J143" s="8">
        <v>1665914</v>
      </c>
    </row>
    <row r="144" spans="1:10" x14ac:dyDescent="0.3">
      <c r="A144" t="s">
        <v>45</v>
      </c>
      <c r="B144" t="s">
        <v>10</v>
      </c>
      <c r="C144" t="s">
        <v>10</v>
      </c>
      <c r="D144" s="8">
        <v>27999</v>
      </c>
      <c r="E144" s="8">
        <v>27965</v>
      </c>
      <c r="F144" s="8">
        <v>27762</v>
      </c>
      <c r="G144" s="8">
        <v>27629</v>
      </c>
      <c r="H144" s="8">
        <v>27428</v>
      </c>
      <c r="I144" s="8">
        <v>27190</v>
      </c>
      <c r="J144" s="8">
        <v>26953</v>
      </c>
    </row>
    <row r="145" spans="1:10" x14ac:dyDescent="0.3">
      <c r="A145" t="s">
        <v>46</v>
      </c>
      <c r="B145" t="s">
        <v>10</v>
      </c>
      <c r="C145" t="s">
        <v>10</v>
      </c>
      <c r="D145" s="8">
        <v>62765</v>
      </c>
      <c r="E145" s="8">
        <v>64157</v>
      </c>
      <c r="F145" s="8">
        <v>65339</v>
      </c>
      <c r="G145" s="8">
        <v>67013</v>
      </c>
      <c r="H145" s="8">
        <v>68125</v>
      </c>
      <c r="I145" s="8">
        <v>68957</v>
      </c>
      <c r="J145" s="8">
        <v>69790</v>
      </c>
    </row>
    <row r="146" spans="1:10" x14ac:dyDescent="0.3">
      <c r="A146" t="s">
        <v>21</v>
      </c>
      <c r="B146" t="s">
        <v>10</v>
      </c>
      <c r="C146" t="s">
        <v>10</v>
      </c>
      <c r="D146" s="8">
        <v>178680</v>
      </c>
      <c r="E146" s="8">
        <v>190915</v>
      </c>
      <c r="F146" s="8">
        <v>200710</v>
      </c>
      <c r="G146" s="8">
        <v>216962</v>
      </c>
      <c r="H146" s="8">
        <v>225833</v>
      </c>
      <c r="I146" s="8">
        <v>231017</v>
      </c>
      <c r="J146" s="8">
        <v>236202</v>
      </c>
    </row>
    <row r="147" spans="1:10" x14ac:dyDescent="0.3">
      <c r="A147" t="s">
        <v>47</v>
      </c>
      <c r="B147" t="s">
        <v>10</v>
      </c>
      <c r="C147" t="s">
        <v>10</v>
      </c>
      <c r="D147" s="8">
        <v>46065</v>
      </c>
      <c r="E147" s="8">
        <v>46095</v>
      </c>
      <c r="F147" s="8">
        <v>46407</v>
      </c>
      <c r="G147" s="8">
        <v>46763</v>
      </c>
      <c r="H147" s="8">
        <v>47058</v>
      </c>
      <c r="I147" s="8">
        <v>47335</v>
      </c>
      <c r="J147" s="8">
        <v>47611</v>
      </c>
    </row>
    <row r="148" spans="1:10" x14ac:dyDescent="0.3">
      <c r="A148" t="s">
        <v>22</v>
      </c>
      <c r="B148" t="s">
        <v>10</v>
      </c>
      <c r="C148" t="s">
        <v>10</v>
      </c>
      <c r="D148" s="8">
        <v>43823</v>
      </c>
      <c r="E148" s="8">
        <v>46487</v>
      </c>
      <c r="F148" s="8">
        <v>48833</v>
      </c>
      <c r="G148" s="8">
        <v>51412</v>
      </c>
      <c r="H148" s="8">
        <v>53726</v>
      </c>
      <c r="I148" s="8">
        <v>55905</v>
      </c>
      <c r="J148" s="8">
        <v>58084</v>
      </c>
    </row>
    <row r="149" spans="1:10" x14ac:dyDescent="0.3">
      <c r="A149" t="s">
        <v>48</v>
      </c>
      <c r="B149" t="s">
        <v>10</v>
      </c>
      <c r="C149" t="s">
        <v>10</v>
      </c>
      <c r="D149" s="8">
        <v>65363</v>
      </c>
      <c r="E149" s="8">
        <v>65314</v>
      </c>
      <c r="F149" s="8">
        <v>65160</v>
      </c>
      <c r="G149" s="8">
        <v>65246</v>
      </c>
      <c r="H149" s="8">
        <v>65059</v>
      </c>
      <c r="I149" s="8">
        <v>64732</v>
      </c>
      <c r="J149" s="8">
        <v>64405</v>
      </c>
    </row>
    <row r="150" spans="1:10" x14ac:dyDescent="0.3">
      <c r="A150" t="s">
        <v>49</v>
      </c>
      <c r="B150" t="s">
        <v>10</v>
      </c>
      <c r="C150" t="s">
        <v>10</v>
      </c>
      <c r="D150" s="8">
        <v>34964</v>
      </c>
      <c r="E150" s="8">
        <v>36425</v>
      </c>
      <c r="F150" s="8">
        <v>37666</v>
      </c>
      <c r="G150" s="8">
        <v>39338</v>
      </c>
      <c r="H150" s="8">
        <v>40519</v>
      </c>
      <c r="I150" s="8">
        <v>41454</v>
      </c>
      <c r="J150" s="8">
        <v>42389</v>
      </c>
    </row>
    <row r="151" spans="1:10" x14ac:dyDescent="0.3">
      <c r="A151" t="s">
        <v>50</v>
      </c>
      <c r="B151" t="s">
        <v>10</v>
      </c>
      <c r="C151" t="s">
        <v>10</v>
      </c>
      <c r="D151" s="8">
        <v>35439</v>
      </c>
      <c r="E151" s="8">
        <v>36859</v>
      </c>
      <c r="F151" s="8">
        <v>37415</v>
      </c>
      <c r="G151" s="8">
        <v>38131</v>
      </c>
      <c r="H151" s="8">
        <v>38662</v>
      </c>
      <c r="I151" s="8">
        <v>39102</v>
      </c>
      <c r="J151" s="8">
        <v>39542</v>
      </c>
    </row>
    <row r="152" spans="1:10" x14ac:dyDescent="0.3">
      <c r="A152" t="s">
        <v>23</v>
      </c>
      <c r="B152" t="s">
        <v>10</v>
      </c>
      <c r="C152" t="s">
        <v>10</v>
      </c>
      <c r="D152" s="8">
        <v>58628</v>
      </c>
      <c r="E152" s="8">
        <v>62355</v>
      </c>
      <c r="F152" s="8">
        <v>65891</v>
      </c>
      <c r="G152" s="8">
        <v>69716</v>
      </c>
      <c r="H152" s="8">
        <v>73212</v>
      </c>
      <c r="I152" s="8">
        <v>76545</v>
      </c>
      <c r="J152" s="8">
        <v>79877</v>
      </c>
    </row>
    <row r="153" spans="1:10" x14ac:dyDescent="0.3">
      <c r="A153" t="s">
        <v>51</v>
      </c>
      <c r="B153" t="s">
        <v>10</v>
      </c>
      <c r="C153" t="s">
        <v>10</v>
      </c>
      <c r="D153" s="8">
        <v>76985</v>
      </c>
      <c r="E153" s="8">
        <v>76590</v>
      </c>
      <c r="F153" s="8">
        <v>76204</v>
      </c>
      <c r="G153" s="8">
        <v>75876</v>
      </c>
      <c r="H153" s="8">
        <v>75478</v>
      </c>
      <c r="I153" s="8">
        <v>75040</v>
      </c>
      <c r="J153" s="8">
        <v>74602</v>
      </c>
    </row>
    <row r="154" spans="1:10" x14ac:dyDescent="0.3">
      <c r="A154" t="s">
        <v>24</v>
      </c>
      <c r="B154" t="s">
        <v>10</v>
      </c>
      <c r="C154" t="s">
        <v>10</v>
      </c>
      <c r="D154" s="8">
        <v>63077</v>
      </c>
      <c r="E154" s="8">
        <v>66408</v>
      </c>
      <c r="F154" s="8">
        <v>72505</v>
      </c>
      <c r="G154" s="8">
        <v>78933</v>
      </c>
      <c r="H154" s="8">
        <v>84983</v>
      </c>
      <c r="I154" s="8">
        <v>90844</v>
      </c>
      <c r="J154" s="8">
        <v>96705</v>
      </c>
    </row>
    <row r="155" spans="1:10" x14ac:dyDescent="0.3">
      <c r="A155" t="s">
        <v>53</v>
      </c>
      <c r="B155" t="s">
        <v>10</v>
      </c>
      <c r="C155" t="s">
        <v>126</v>
      </c>
      <c r="D155" s="2"/>
      <c r="E155" s="2">
        <f>SUM(E157:E171)</f>
        <v>41873</v>
      </c>
      <c r="F155" s="2">
        <f t="shared" ref="F155:J155" si="12">SUM(F157:F171)</f>
        <v>139687</v>
      </c>
      <c r="G155" s="2">
        <f t="shared" si="12"/>
        <v>240961</v>
      </c>
      <c r="H155" s="2">
        <f t="shared" si="12"/>
        <v>401250</v>
      </c>
      <c r="I155" s="2">
        <f t="shared" si="12"/>
        <v>600732</v>
      </c>
      <c r="J155" s="2">
        <f t="shared" si="12"/>
        <v>820672</v>
      </c>
    </row>
    <row r="156" spans="1:10" x14ac:dyDescent="0.3">
      <c r="A156" t="s">
        <v>97</v>
      </c>
      <c r="B156" t="s">
        <v>10</v>
      </c>
      <c r="C156" t="s">
        <v>126</v>
      </c>
      <c r="D156" s="2"/>
      <c r="E156" s="2">
        <f t="shared" ref="E156:J156" si="13">SUM(E157,E158,E160,E162:E163,E165:E167,E169,E171)</f>
        <v>34741</v>
      </c>
      <c r="F156" s="2">
        <f t="shared" si="13"/>
        <v>119852</v>
      </c>
      <c r="G156" s="2">
        <f t="shared" si="13"/>
        <v>205059</v>
      </c>
      <c r="H156" s="2">
        <f t="shared" si="13"/>
        <v>345841</v>
      </c>
      <c r="I156" s="2">
        <f t="shared" si="13"/>
        <v>523002</v>
      </c>
      <c r="J156" s="2">
        <f t="shared" si="13"/>
        <v>718285</v>
      </c>
    </row>
    <row r="157" spans="1:10" x14ac:dyDescent="0.3">
      <c r="A157" t="s">
        <v>18</v>
      </c>
      <c r="B157" t="s">
        <v>10</v>
      </c>
      <c r="C157" t="s">
        <v>126</v>
      </c>
      <c r="D157" s="2"/>
      <c r="E157" s="2">
        <v>1425</v>
      </c>
      <c r="F157" s="2">
        <v>9734</v>
      </c>
      <c r="G157" s="2">
        <v>18386</v>
      </c>
      <c r="H157" s="2">
        <v>32971</v>
      </c>
      <c r="I157" s="2">
        <v>51461</v>
      </c>
      <c r="J157" s="2">
        <v>71947</v>
      </c>
    </row>
    <row r="158" spans="1:10" x14ac:dyDescent="0.3">
      <c r="A158" t="s">
        <v>19</v>
      </c>
      <c r="B158" t="s">
        <v>10</v>
      </c>
      <c r="C158" t="s">
        <v>126</v>
      </c>
      <c r="D158" s="2"/>
      <c r="E158" s="2">
        <v>2521</v>
      </c>
      <c r="F158" s="2">
        <v>10092</v>
      </c>
      <c r="G158" s="2">
        <v>19235</v>
      </c>
      <c r="H158" s="2">
        <v>31777</v>
      </c>
      <c r="I158" s="2">
        <v>46785</v>
      </c>
      <c r="J158" s="2">
        <v>63424</v>
      </c>
    </row>
    <row r="159" spans="1:10" x14ac:dyDescent="0.3">
      <c r="A159" t="s">
        <v>44</v>
      </c>
      <c r="B159" t="s">
        <v>10</v>
      </c>
      <c r="C159" t="s">
        <v>126</v>
      </c>
      <c r="D159" s="2"/>
      <c r="E159" s="2">
        <v>436</v>
      </c>
      <c r="F159" s="2">
        <v>1205</v>
      </c>
      <c r="G159" s="2">
        <v>2180</v>
      </c>
      <c r="H159" s="2">
        <v>3374</v>
      </c>
      <c r="I159" s="2">
        <v>4744</v>
      </c>
      <c r="J159" s="2">
        <v>6258</v>
      </c>
    </row>
    <row r="160" spans="1:10" x14ac:dyDescent="0.3">
      <c r="A160" t="s">
        <v>20</v>
      </c>
      <c r="B160" t="s">
        <v>10</v>
      </c>
      <c r="C160" t="s">
        <v>126</v>
      </c>
      <c r="D160" s="2"/>
      <c r="E160" s="2">
        <v>19527</v>
      </c>
      <c r="F160" s="2">
        <v>59898</v>
      </c>
      <c r="G160" s="2">
        <v>97336</v>
      </c>
      <c r="H160" s="2">
        <v>163494</v>
      </c>
      <c r="I160" s="2">
        <v>248007</v>
      </c>
      <c r="J160" s="2">
        <v>340914</v>
      </c>
    </row>
    <row r="161" spans="1:10" x14ac:dyDescent="0.3">
      <c r="A161" t="s">
        <v>45</v>
      </c>
      <c r="B161" t="s">
        <v>10</v>
      </c>
      <c r="C161" t="s">
        <v>126</v>
      </c>
      <c r="D161" s="2"/>
      <c r="E161" s="2">
        <v>695</v>
      </c>
      <c r="F161" s="2">
        <v>1989</v>
      </c>
      <c r="G161" s="2">
        <v>3610</v>
      </c>
      <c r="H161" s="2">
        <v>5613</v>
      </c>
      <c r="I161" s="2">
        <v>7924</v>
      </c>
      <c r="J161" s="2">
        <v>10476</v>
      </c>
    </row>
    <row r="162" spans="1:10" x14ac:dyDescent="0.3">
      <c r="A162" t="s">
        <v>46</v>
      </c>
      <c r="B162" t="s">
        <v>10</v>
      </c>
      <c r="C162" t="s">
        <v>126</v>
      </c>
      <c r="D162" s="2"/>
      <c r="E162" s="2">
        <v>1007</v>
      </c>
      <c r="F162" s="2">
        <v>3888</v>
      </c>
      <c r="G162" s="2">
        <v>7275</v>
      </c>
      <c r="H162" s="2">
        <v>12025</v>
      </c>
      <c r="I162" s="2">
        <v>17745</v>
      </c>
      <c r="J162" s="2">
        <v>24078</v>
      </c>
    </row>
    <row r="163" spans="1:10" x14ac:dyDescent="0.3">
      <c r="A163" t="s">
        <v>21</v>
      </c>
      <c r="B163" t="s">
        <v>10</v>
      </c>
      <c r="C163" t="s">
        <v>126</v>
      </c>
      <c r="D163" s="2"/>
      <c r="E163" s="2">
        <v>-1603</v>
      </c>
      <c r="F163" s="2">
        <v>2454</v>
      </c>
      <c r="G163" s="2">
        <v>2238</v>
      </c>
      <c r="H163" s="2">
        <v>11212</v>
      </c>
      <c r="I163" s="2">
        <v>25454</v>
      </c>
      <c r="J163" s="2">
        <v>41117</v>
      </c>
    </row>
    <row r="164" spans="1:10" x14ac:dyDescent="0.3">
      <c r="A164" t="s">
        <v>47</v>
      </c>
      <c r="B164" t="s">
        <v>10</v>
      </c>
      <c r="C164" t="s">
        <v>126</v>
      </c>
      <c r="D164" s="2"/>
      <c r="E164" s="2">
        <v>1195</v>
      </c>
      <c r="F164" s="2">
        <v>2944</v>
      </c>
      <c r="G164" s="2">
        <v>5070</v>
      </c>
      <c r="H164" s="2">
        <v>7621</v>
      </c>
      <c r="I164" s="2">
        <v>10509</v>
      </c>
      <c r="J164" s="2">
        <v>13686</v>
      </c>
    </row>
    <row r="165" spans="1:10" x14ac:dyDescent="0.3">
      <c r="A165" t="s">
        <v>22</v>
      </c>
      <c r="B165" t="s">
        <v>10</v>
      </c>
      <c r="C165" t="s">
        <v>126</v>
      </c>
      <c r="D165" s="2"/>
      <c r="E165" s="2">
        <v>3021</v>
      </c>
      <c r="F165" s="2">
        <v>9335</v>
      </c>
      <c r="G165" s="2">
        <v>17386</v>
      </c>
      <c r="H165" s="2">
        <v>27288</v>
      </c>
      <c r="I165" s="2">
        <v>38692</v>
      </c>
      <c r="J165" s="2">
        <v>51316</v>
      </c>
    </row>
    <row r="166" spans="1:10" x14ac:dyDescent="0.3">
      <c r="A166" t="s">
        <v>48</v>
      </c>
      <c r="B166" t="s">
        <v>10</v>
      </c>
      <c r="C166" t="s">
        <v>126</v>
      </c>
      <c r="D166" s="2"/>
      <c r="E166" s="2">
        <v>1015</v>
      </c>
      <c r="F166" s="2">
        <v>1491</v>
      </c>
      <c r="G166" s="2">
        <v>1560</v>
      </c>
      <c r="H166" s="2">
        <v>1820</v>
      </c>
      <c r="I166" s="2">
        <v>2171</v>
      </c>
      <c r="J166" s="2">
        <v>2487</v>
      </c>
    </row>
    <row r="167" spans="1:10" x14ac:dyDescent="0.3">
      <c r="A167" t="s">
        <v>49</v>
      </c>
      <c r="B167" t="s">
        <v>10</v>
      </c>
      <c r="C167" t="s">
        <v>126</v>
      </c>
      <c r="D167" s="2"/>
      <c r="E167" s="2">
        <v>898</v>
      </c>
      <c r="F167" s="2">
        <v>3556</v>
      </c>
      <c r="G167" s="2">
        <v>6712</v>
      </c>
      <c r="H167" s="2">
        <v>11102</v>
      </c>
      <c r="I167" s="2">
        <v>16378</v>
      </c>
      <c r="J167" s="2">
        <v>22224</v>
      </c>
    </row>
    <row r="168" spans="1:10" x14ac:dyDescent="0.3">
      <c r="A168" t="s">
        <v>50</v>
      </c>
      <c r="B168" t="s">
        <v>10</v>
      </c>
      <c r="C168" t="s">
        <v>126</v>
      </c>
      <c r="D168" s="2"/>
      <c r="E168" s="2">
        <v>1701</v>
      </c>
      <c r="F168" s="2">
        <v>4054</v>
      </c>
      <c r="G168" s="2">
        <v>6848</v>
      </c>
      <c r="H168" s="2">
        <v>10327</v>
      </c>
      <c r="I168" s="2">
        <v>14335</v>
      </c>
      <c r="J168" s="2">
        <v>18736</v>
      </c>
    </row>
    <row r="169" spans="1:10" x14ac:dyDescent="0.3">
      <c r="A169" t="s">
        <v>23</v>
      </c>
      <c r="B169" t="s">
        <v>10</v>
      </c>
      <c r="C169" t="s">
        <v>126</v>
      </c>
      <c r="D169" s="2"/>
      <c r="E169" s="2">
        <v>3674</v>
      </c>
      <c r="F169" s="2">
        <v>11559</v>
      </c>
      <c r="G169" s="2">
        <v>21644</v>
      </c>
      <c r="H169" s="2">
        <v>34060</v>
      </c>
      <c r="I169" s="2">
        <v>48361</v>
      </c>
      <c r="J169" s="2">
        <v>64199</v>
      </c>
    </row>
    <row r="170" spans="1:10" x14ac:dyDescent="0.3">
      <c r="A170" t="s">
        <v>51</v>
      </c>
      <c r="B170" t="s">
        <v>10</v>
      </c>
      <c r="C170" t="s">
        <v>126</v>
      </c>
      <c r="D170" s="2"/>
      <c r="E170" s="2">
        <v>3105</v>
      </c>
      <c r="F170" s="2">
        <v>9643</v>
      </c>
      <c r="G170" s="2">
        <v>18194</v>
      </c>
      <c r="H170" s="2">
        <v>28474</v>
      </c>
      <c r="I170" s="2">
        <v>40218</v>
      </c>
      <c r="J170" s="2">
        <v>53231</v>
      </c>
    </row>
    <row r="171" spans="1:10" x14ac:dyDescent="0.3">
      <c r="A171" t="s">
        <v>24</v>
      </c>
      <c r="B171" t="s">
        <v>10</v>
      </c>
      <c r="C171" t="s">
        <v>126</v>
      </c>
      <c r="D171" s="2"/>
      <c r="E171" s="2">
        <v>3256</v>
      </c>
      <c r="F171" s="2">
        <v>7845</v>
      </c>
      <c r="G171" s="2">
        <v>13287</v>
      </c>
      <c r="H171" s="2">
        <v>20092</v>
      </c>
      <c r="I171" s="2">
        <v>27948</v>
      </c>
      <c r="J171" s="2">
        <v>36579</v>
      </c>
    </row>
    <row r="172" spans="1:10" x14ac:dyDescent="0.3">
      <c r="A172" t="s">
        <v>53</v>
      </c>
      <c r="B172" t="s">
        <v>10</v>
      </c>
      <c r="C172" t="s">
        <v>127</v>
      </c>
      <c r="D172" s="2"/>
      <c r="E172" s="2">
        <f>SUM(E174:E188)</f>
        <v>-110084</v>
      </c>
      <c r="F172" s="2">
        <f t="shared" ref="F172:J172" si="14">SUM(F174:F188)</f>
        <v>-248816</v>
      </c>
      <c r="G172" s="2">
        <f t="shared" si="14"/>
        <v>-448287</v>
      </c>
      <c r="H172" s="2">
        <f t="shared" si="14"/>
        <v>-641302</v>
      </c>
      <c r="I172" s="2">
        <f t="shared" si="14"/>
        <v>-840786</v>
      </c>
      <c r="J172" s="2">
        <f t="shared" si="14"/>
        <v>-1060732</v>
      </c>
    </row>
    <row r="173" spans="1:10" x14ac:dyDescent="0.3">
      <c r="A173" t="s">
        <v>97</v>
      </c>
      <c r="B173" t="s">
        <v>10</v>
      </c>
      <c r="C173" t="s">
        <v>127</v>
      </c>
      <c r="D173" s="2"/>
      <c r="E173" s="2">
        <f t="shared" ref="E173:J173" si="15">SUM(E174,E175,E177,E179:E180,E182:E184,E186,E188)</f>
        <v>-102212</v>
      </c>
      <c r="F173" s="2">
        <f t="shared" si="15"/>
        <v>-227721</v>
      </c>
      <c r="G173" s="2">
        <f t="shared" si="15"/>
        <v>-409881</v>
      </c>
      <c r="H173" s="2">
        <f t="shared" si="15"/>
        <v>-582992</v>
      </c>
      <c r="I173" s="2">
        <f t="shared" si="15"/>
        <v>-760156</v>
      </c>
      <c r="J173" s="2">
        <f t="shared" si="15"/>
        <v>-955447</v>
      </c>
    </row>
    <row r="174" spans="1:10" x14ac:dyDescent="0.3">
      <c r="A174" t="s">
        <v>18</v>
      </c>
      <c r="B174" t="s">
        <v>10</v>
      </c>
      <c r="C174" t="s">
        <v>127</v>
      </c>
      <c r="D174" s="2"/>
      <c r="E174" s="2">
        <v>-8552</v>
      </c>
      <c r="F174" s="2">
        <v>-21017</v>
      </c>
      <c r="G174" s="2">
        <v>-39647</v>
      </c>
      <c r="H174" s="2">
        <v>-57560</v>
      </c>
      <c r="I174" s="2">
        <v>-76050</v>
      </c>
      <c r="J174" s="2">
        <v>-96536</v>
      </c>
    </row>
    <row r="175" spans="1:10" x14ac:dyDescent="0.3">
      <c r="A175" t="s">
        <v>19</v>
      </c>
      <c r="B175" t="s">
        <v>10</v>
      </c>
      <c r="C175" t="s">
        <v>127</v>
      </c>
      <c r="D175" s="2"/>
      <c r="E175" s="2">
        <v>-5193</v>
      </c>
      <c r="F175" s="2">
        <v>-14345</v>
      </c>
      <c r="G175" s="2">
        <v>-27278</v>
      </c>
      <c r="H175" s="2">
        <v>-41085</v>
      </c>
      <c r="I175" s="2">
        <v>-56093</v>
      </c>
      <c r="J175" s="2">
        <v>-72733</v>
      </c>
    </row>
    <row r="176" spans="1:10" x14ac:dyDescent="0.3">
      <c r="A176" t="s">
        <v>44</v>
      </c>
      <c r="B176" t="s">
        <v>10</v>
      </c>
      <c r="C176" t="s">
        <v>127</v>
      </c>
      <c r="D176" s="2"/>
      <c r="E176" s="2">
        <v>-507</v>
      </c>
      <c r="F176" s="2">
        <v>-1320</v>
      </c>
      <c r="G176" s="2">
        <v>-2394</v>
      </c>
      <c r="H176" s="2">
        <v>-3619</v>
      </c>
      <c r="I176" s="2">
        <v>-4988</v>
      </c>
      <c r="J176" s="2">
        <v>-6501</v>
      </c>
    </row>
    <row r="177" spans="1:10" x14ac:dyDescent="0.3">
      <c r="A177" t="s">
        <v>20</v>
      </c>
      <c r="B177" t="s">
        <v>10</v>
      </c>
      <c r="C177" t="s">
        <v>127</v>
      </c>
      <c r="D177" s="2"/>
      <c r="E177" s="2">
        <v>-56682</v>
      </c>
      <c r="F177" s="2">
        <v>-119621</v>
      </c>
      <c r="G177" s="2">
        <v>-211208</v>
      </c>
      <c r="H177" s="2">
        <v>-295420</v>
      </c>
      <c r="I177" s="2">
        <v>-379936</v>
      </c>
      <c r="J177" s="2">
        <v>-472848</v>
      </c>
    </row>
    <row r="178" spans="1:10" x14ac:dyDescent="0.3">
      <c r="A178" t="s">
        <v>45</v>
      </c>
      <c r="B178" t="s">
        <v>10</v>
      </c>
      <c r="C178" t="s">
        <v>127</v>
      </c>
      <c r="D178" s="2"/>
      <c r="E178" s="2">
        <v>-843</v>
      </c>
      <c r="F178" s="2">
        <v>-2227</v>
      </c>
      <c r="G178" s="2">
        <v>-4058</v>
      </c>
      <c r="H178" s="2">
        <v>-6133</v>
      </c>
      <c r="I178" s="2">
        <v>-8443</v>
      </c>
      <c r="J178" s="2">
        <v>-10995</v>
      </c>
    </row>
    <row r="179" spans="1:10" x14ac:dyDescent="0.3">
      <c r="A179" t="s">
        <v>46</v>
      </c>
      <c r="B179" t="s">
        <v>10</v>
      </c>
      <c r="C179" t="s">
        <v>127</v>
      </c>
      <c r="D179" s="2"/>
      <c r="E179" s="2">
        <v>-2187</v>
      </c>
      <c r="F179" s="2">
        <v>-5767</v>
      </c>
      <c r="G179" s="2">
        <v>-10837</v>
      </c>
      <c r="H179" s="2">
        <v>-16147</v>
      </c>
      <c r="I179" s="2">
        <v>-21866</v>
      </c>
      <c r="J179" s="2">
        <v>-28201</v>
      </c>
    </row>
    <row r="180" spans="1:10" x14ac:dyDescent="0.3">
      <c r="A180" t="s">
        <v>21</v>
      </c>
      <c r="B180" t="s">
        <v>10</v>
      </c>
      <c r="C180" t="s">
        <v>127</v>
      </c>
      <c r="D180" s="2"/>
      <c r="E180" s="2">
        <v>-14107</v>
      </c>
      <c r="F180" s="2">
        <v>-27386</v>
      </c>
      <c r="G180" s="2">
        <v>-49304</v>
      </c>
      <c r="H180" s="2">
        <v>-65652</v>
      </c>
      <c r="I180" s="2">
        <v>-79894</v>
      </c>
      <c r="J180" s="2">
        <v>-95558</v>
      </c>
    </row>
    <row r="181" spans="1:10" x14ac:dyDescent="0.3">
      <c r="A181" t="s">
        <v>47</v>
      </c>
      <c r="B181" t="s">
        <v>10</v>
      </c>
      <c r="C181" t="s">
        <v>127</v>
      </c>
      <c r="D181" s="2"/>
      <c r="E181" s="2">
        <v>-1224</v>
      </c>
      <c r="F181" s="2">
        <v>-3030</v>
      </c>
      <c r="G181" s="2">
        <v>-5315</v>
      </c>
      <c r="H181" s="2">
        <v>-7902</v>
      </c>
      <c r="I181" s="2">
        <v>-10791</v>
      </c>
      <c r="J181" s="2">
        <v>-13967</v>
      </c>
    </row>
    <row r="182" spans="1:10" x14ac:dyDescent="0.3">
      <c r="A182" t="s">
        <v>22</v>
      </c>
      <c r="B182" t="s">
        <v>10</v>
      </c>
      <c r="C182" t="s">
        <v>127</v>
      </c>
      <c r="D182" s="2"/>
      <c r="E182" s="2">
        <v>-3569</v>
      </c>
      <c r="F182" s="2">
        <v>-10217</v>
      </c>
      <c r="G182" s="2">
        <v>-19067</v>
      </c>
      <c r="H182" s="2">
        <v>-29240</v>
      </c>
      <c r="I182" s="2">
        <v>-40644</v>
      </c>
      <c r="J182" s="2">
        <v>-53268</v>
      </c>
    </row>
    <row r="183" spans="1:10" x14ac:dyDescent="0.3">
      <c r="A183" t="s">
        <v>48</v>
      </c>
      <c r="B183" t="s">
        <v>10</v>
      </c>
      <c r="C183" t="s">
        <v>127</v>
      </c>
      <c r="D183" s="2"/>
      <c r="E183" s="2">
        <v>-1583</v>
      </c>
      <c r="F183" s="2">
        <v>-2406</v>
      </c>
      <c r="G183" s="2">
        <v>-3301</v>
      </c>
      <c r="H183" s="2">
        <v>-3842</v>
      </c>
      <c r="I183" s="2">
        <v>-4193</v>
      </c>
      <c r="J183" s="2">
        <v>-4509</v>
      </c>
    </row>
    <row r="184" spans="1:10" x14ac:dyDescent="0.3">
      <c r="A184" t="s">
        <v>49</v>
      </c>
      <c r="B184" t="s">
        <v>10</v>
      </c>
      <c r="C184" t="s">
        <v>127</v>
      </c>
      <c r="D184" s="2"/>
      <c r="E184" s="2">
        <v>-1949</v>
      </c>
      <c r="F184" s="2">
        <v>-5219</v>
      </c>
      <c r="G184" s="2">
        <v>-9849</v>
      </c>
      <c r="H184" s="2">
        <v>-14731</v>
      </c>
      <c r="I184" s="2">
        <v>-20007</v>
      </c>
      <c r="J184" s="2">
        <v>-25853</v>
      </c>
    </row>
    <row r="185" spans="1:10" x14ac:dyDescent="0.3">
      <c r="A185" t="s">
        <v>50</v>
      </c>
      <c r="B185" t="s">
        <v>10</v>
      </c>
      <c r="C185" t="s">
        <v>127</v>
      </c>
      <c r="D185" s="2"/>
      <c r="E185" s="2">
        <v>-2098</v>
      </c>
      <c r="F185" s="2">
        <v>-4683</v>
      </c>
      <c r="G185" s="2">
        <v>-8029</v>
      </c>
      <c r="H185" s="2">
        <v>-11690</v>
      </c>
      <c r="I185" s="2">
        <v>-15698</v>
      </c>
      <c r="J185" s="2">
        <v>-20100</v>
      </c>
    </row>
    <row r="186" spans="1:10" x14ac:dyDescent="0.3">
      <c r="A186" t="s">
        <v>23</v>
      </c>
      <c r="B186" t="s">
        <v>10</v>
      </c>
      <c r="C186" t="s">
        <v>127</v>
      </c>
      <c r="D186" s="2"/>
      <c r="E186" s="2">
        <v>-4350</v>
      </c>
      <c r="F186" s="2">
        <v>-12642</v>
      </c>
      <c r="G186" s="2">
        <v>-23712</v>
      </c>
      <c r="H186" s="2">
        <v>-36454</v>
      </c>
      <c r="I186" s="2">
        <v>-50756</v>
      </c>
      <c r="J186" s="2">
        <v>-66592</v>
      </c>
    </row>
    <row r="187" spans="1:10" x14ac:dyDescent="0.3">
      <c r="A187" t="s">
        <v>51</v>
      </c>
      <c r="B187" t="s">
        <v>10</v>
      </c>
      <c r="C187" t="s">
        <v>127</v>
      </c>
      <c r="D187" s="2"/>
      <c r="E187" s="2">
        <v>-3200</v>
      </c>
      <c r="F187" s="2">
        <v>-9835</v>
      </c>
      <c r="G187" s="2">
        <v>-18610</v>
      </c>
      <c r="H187" s="2">
        <v>-28966</v>
      </c>
      <c r="I187" s="2">
        <v>-40710</v>
      </c>
      <c r="J187" s="2">
        <v>-53722</v>
      </c>
    </row>
    <row r="188" spans="1:10" x14ac:dyDescent="0.3">
      <c r="A188" t="s">
        <v>24</v>
      </c>
      <c r="B188" t="s">
        <v>10</v>
      </c>
      <c r="C188" t="s">
        <v>127</v>
      </c>
      <c r="D188" s="2"/>
      <c r="E188" s="2">
        <v>-4040</v>
      </c>
      <c r="F188" s="2">
        <v>-9101</v>
      </c>
      <c r="G188" s="2">
        <v>-15678</v>
      </c>
      <c r="H188" s="2">
        <v>-22861</v>
      </c>
      <c r="I188" s="2">
        <v>-30717</v>
      </c>
      <c r="J188" s="2">
        <v>-39349</v>
      </c>
    </row>
    <row r="189" spans="1:10" x14ac:dyDescent="0.3">
      <c r="A189" t="s">
        <v>53</v>
      </c>
      <c r="B189" t="s">
        <v>52</v>
      </c>
      <c r="C189" t="s">
        <v>55</v>
      </c>
      <c r="D189" s="66">
        <v>1505965.4584483812</v>
      </c>
      <c r="E189" s="66">
        <v>1557962.3139113518</v>
      </c>
      <c r="F189" s="66">
        <v>1608619.0123257095</v>
      </c>
      <c r="G189" s="66">
        <v>1696696.4788869068</v>
      </c>
      <c r="H189" s="66">
        <v>1774928.8990540032</v>
      </c>
      <c r="I189" s="66">
        <v>1850646.2987624097</v>
      </c>
      <c r="J189" s="66">
        <v>1916524.3612043406</v>
      </c>
    </row>
    <row r="190" spans="1:10" x14ac:dyDescent="0.3">
      <c r="A190" t="s">
        <v>97</v>
      </c>
      <c r="B190" t="s">
        <v>52</v>
      </c>
      <c r="C190" t="s">
        <v>55</v>
      </c>
      <c r="D190" s="2">
        <f t="shared" ref="D190:J190" si="16">SUM(D191,D192,D194,D196:D197,D199:D201,D203,D205)</f>
        <v>1377094.2263124138</v>
      </c>
      <c r="E190" s="2">
        <f t="shared" si="16"/>
        <v>1431992.1830469139</v>
      </c>
      <c r="F190" s="2">
        <f t="shared" si="16"/>
        <v>1484546.9013136092</v>
      </c>
      <c r="G190" s="2">
        <f t="shared" si="16"/>
        <v>1572710.3615496987</v>
      </c>
      <c r="H190" s="2">
        <f t="shared" si="16"/>
        <v>1649938.3577113121</v>
      </c>
      <c r="I190" s="2">
        <f t="shared" si="16"/>
        <v>1724391.6933077404</v>
      </c>
      <c r="J190" s="2">
        <f t="shared" si="16"/>
        <v>1788842.1448673224</v>
      </c>
    </row>
    <row r="191" spans="1:10" x14ac:dyDescent="0.3">
      <c r="A191" t="s">
        <v>18</v>
      </c>
      <c r="B191" t="s">
        <v>52</v>
      </c>
      <c r="C191" t="s">
        <v>55</v>
      </c>
      <c r="D191" s="66">
        <v>128972.52601590233</v>
      </c>
      <c r="E191" s="66">
        <v>147623.24423133634</v>
      </c>
      <c r="F191" s="66">
        <v>162957.84384566068</v>
      </c>
      <c r="G191" s="66">
        <v>179944.12319771305</v>
      </c>
      <c r="H191" s="66">
        <v>195084.78183376222</v>
      </c>
      <c r="I191" s="66">
        <v>210691.53274779941</v>
      </c>
      <c r="J191" s="66">
        <v>226432.50231069018</v>
      </c>
    </row>
    <row r="192" spans="1:10" x14ac:dyDescent="0.3">
      <c r="A192" t="s">
        <v>19</v>
      </c>
      <c r="B192" t="s">
        <v>52</v>
      </c>
      <c r="C192" t="s">
        <v>55</v>
      </c>
      <c r="D192" s="66">
        <v>95313.150585371244</v>
      </c>
      <c r="E192" s="66">
        <v>99312.335500189089</v>
      </c>
      <c r="F192" s="66">
        <v>102543.14077227309</v>
      </c>
      <c r="G192" s="66">
        <v>108077.37830183574</v>
      </c>
      <c r="H192" s="66">
        <v>114186.18698681684</v>
      </c>
      <c r="I192" s="66">
        <v>120539.30629321747</v>
      </c>
      <c r="J192" s="66">
        <v>126510.67234646523</v>
      </c>
    </row>
    <row r="193" spans="1:12" x14ac:dyDescent="0.3">
      <c r="A193" t="s">
        <v>44</v>
      </c>
      <c r="B193" t="s">
        <v>52</v>
      </c>
      <c r="C193" t="s">
        <v>55</v>
      </c>
      <c r="D193" s="66">
        <v>16983.627677665423</v>
      </c>
      <c r="E193" s="66">
        <v>16999.060927796196</v>
      </c>
      <c r="F193" s="66">
        <v>17271.915069246417</v>
      </c>
      <c r="G193" s="66">
        <v>17603.343119206827</v>
      </c>
      <c r="H193" s="66">
        <v>17904.57881490306</v>
      </c>
      <c r="I193" s="66">
        <v>18288.655285276149</v>
      </c>
      <c r="J193" s="66">
        <v>18699.186875287673</v>
      </c>
    </row>
    <row r="194" spans="1:12" x14ac:dyDescent="0.3">
      <c r="A194" t="s">
        <v>20</v>
      </c>
      <c r="B194" t="s">
        <v>52</v>
      </c>
      <c r="C194" t="s">
        <v>55</v>
      </c>
      <c r="D194" s="66">
        <v>846255.02510575601</v>
      </c>
      <c r="E194" s="66">
        <v>871038.09728373564</v>
      </c>
      <c r="F194" s="66">
        <v>897085.84436772089</v>
      </c>
      <c r="G194" s="66">
        <v>945272.28458394075</v>
      </c>
      <c r="H194" s="66">
        <v>985153.43629214843</v>
      </c>
      <c r="I194" s="66">
        <v>1022277.1046496063</v>
      </c>
      <c r="J194" s="66">
        <v>1051047.24498198</v>
      </c>
    </row>
    <row r="195" spans="1:12" x14ac:dyDescent="0.3">
      <c r="A195" t="s">
        <v>45</v>
      </c>
      <c r="B195" t="s">
        <v>52</v>
      </c>
      <c r="C195" t="s">
        <v>55</v>
      </c>
      <c r="D195" s="66">
        <v>16449.806948650843</v>
      </c>
      <c r="E195" s="66">
        <v>15903.747643817633</v>
      </c>
      <c r="F195" s="66">
        <v>15290.346796202131</v>
      </c>
      <c r="G195" s="66">
        <v>15073.05592717024</v>
      </c>
      <c r="H195" s="66">
        <v>14935.527801949182</v>
      </c>
      <c r="I195" s="66">
        <v>14974.691804210957</v>
      </c>
      <c r="J195" s="66">
        <v>15040.209855250527</v>
      </c>
    </row>
    <row r="196" spans="1:12" x14ac:dyDescent="0.3">
      <c r="A196" t="s">
        <v>46</v>
      </c>
      <c r="B196" t="s">
        <v>52</v>
      </c>
      <c r="C196" t="s">
        <v>55</v>
      </c>
      <c r="D196" s="66">
        <v>35946.314336779753</v>
      </c>
      <c r="E196" s="66">
        <v>35388.544455171825</v>
      </c>
      <c r="F196" s="66">
        <v>35251.024123720752</v>
      </c>
      <c r="G196" s="66">
        <v>35892.691467978351</v>
      </c>
      <c r="H196" s="66">
        <v>36798.498938120814</v>
      </c>
      <c r="I196" s="66">
        <v>37801.843992272275</v>
      </c>
      <c r="J196" s="66">
        <v>38702.448857707903</v>
      </c>
      <c r="L196" s="8"/>
    </row>
    <row r="197" spans="1:12" x14ac:dyDescent="0.3">
      <c r="A197" t="s">
        <v>21</v>
      </c>
      <c r="B197" t="s">
        <v>52</v>
      </c>
      <c r="C197" t="s">
        <v>55</v>
      </c>
      <c r="D197" s="66">
        <v>106701.20986889364</v>
      </c>
      <c r="E197" s="66">
        <v>111272.46297250778</v>
      </c>
      <c r="F197" s="66">
        <v>114734.62358908379</v>
      </c>
      <c r="G197" s="66">
        <v>123803.2943652876</v>
      </c>
      <c r="H197" s="66">
        <v>130275.10695106082</v>
      </c>
      <c r="I197" s="66">
        <v>135753.07246531182</v>
      </c>
      <c r="J197" s="66">
        <v>140178.63781984075</v>
      </c>
      <c r="L197" s="8"/>
    </row>
    <row r="198" spans="1:12" x14ac:dyDescent="0.3">
      <c r="A198" t="s">
        <v>47</v>
      </c>
      <c r="B198" t="s">
        <v>52</v>
      </c>
      <c r="C198" t="s">
        <v>55</v>
      </c>
      <c r="D198" s="66">
        <v>26948.238165308059</v>
      </c>
      <c r="E198" s="66">
        <v>26158.491733831775</v>
      </c>
      <c r="F198" s="66">
        <v>25765.020485443973</v>
      </c>
      <c r="G198" s="66">
        <v>25825.099277703652</v>
      </c>
      <c r="H198" s="66">
        <v>26081.728849059517</v>
      </c>
      <c r="I198" s="66">
        <v>26530.515076389842</v>
      </c>
      <c r="J198" s="66">
        <v>27061.647651174069</v>
      </c>
      <c r="L198" s="8"/>
    </row>
    <row r="199" spans="1:12" x14ac:dyDescent="0.3">
      <c r="A199" t="s">
        <v>22</v>
      </c>
      <c r="B199" t="s">
        <v>52</v>
      </c>
      <c r="C199" t="s">
        <v>55</v>
      </c>
      <c r="D199" s="66">
        <v>27804.531208140688</v>
      </c>
      <c r="E199" s="66">
        <v>28926.860440931669</v>
      </c>
      <c r="F199" s="66">
        <v>29783.178997949472</v>
      </c>
      <c r="G199" s="66">
        <v>31056.469004496848</v>
      </c>
      <c r="H199" s="66">
        <v>32561.324877176972</v>
      </c>
      <c r="I199" s="66">
        <v>34078.778106326507</v>
      </c>
      <c r="J199" s="66">
        <v>35516.833600953512</v>
      </c>
      <c r="L199" s="8"/>
    </row>
    <row r="200" spans="1:12" x14ac:dyDescent="0.3">
      <c r="A200" t="s">
        <v>48</v>
      </c>
      <c r="B200" t="s">
        <v>52</v>
      </c>
      <c r="C200" t="s">
        <v>55</v>
      </c>
      <c r="D200" s="66">
        <v>39416.487022203961</v>
      </c>
      <c r="E200" s="66">
        <v>38143.638704776204</v>
      </c>
      <c r="F200" s="66">
        <v>37481.507007892811</v>
      </c>
      <c r="G200" s="66">
        <v>38060.962090151646</v>
      </c>
      <c r="H200" s="66">
        <v>38724.84514132909</v>
      </c>
      <c r="I200" s="66">
        <v>39031.52146634346</v>
      </c>
      <c r="J200" s="66">
        <v>39028.715217497484</v>
      </c>
      <c r="L200" s="8"/>
    </row>
    <row r="201" spans="1:12" x14ac:dyDescent="0.3">
      <c r="A201" t="s">
        <v>49</v>
      </c>
      <c r="B201" t="s">
        <v>52</v>
      </c>
      <c r="C201" t="s">
        <v>55</v>
      </c>
      <c r="D201" s="66">
        <v>20811.092657152058</v>
      </c>
      <c r="E201" s="66">
        <v>21201.973165368152</v>
      </c>
      <c r="F201" s="66">
        <v>21385.608875306643</v>
      </c>
      <c r="G201" s="66">
        <v>21937.623169395712</v>
      </c>
      <c r="H201" s="66">
        <v>22481.664388449684</v>
      </c>
      <c r="I201" s="66">
        <v>23148.328332197012</v>
      </c>
      <c r="J201" s="66">
        <v>23961.810649045547</v>
      </c>
      <c r="L201" s="8"/>
    </row>
    <row r="202" spans="1:12" x14ac:dyDescent="0.3">
      <c r="A202" t="s">
        <v>50</v>
      </c>
      <c r="B202" t="s">
        <v>52</v>
      </c>
      <c r="C202" t="s">
        <v>55</v>
      </c>
      <c r="D202" s="66">
        <v>21100.122251132932</v>
      </c>
      <c r="E202" s="66">
        <v>21180.442319527931</v>
      </c>
      <c r="F202" s="66">
        <v>21008.19249324215</v>
      </c>
      <c r="G202" s="66">
        <v>21171.553537854961</v>
      </c>
      <c r="H202" s="66">
        <v>21556.468218630245</v>
      </c>
      <c r="I202" s="66">
        <v>21997.724903156111</v>
      </c>
      <c r="J202" s="66">
        <v>22373.935994145213</v>
      </c>
    </row>
    <row r="203" spans="1:12" x14ac:dyDescent="0.3">
      <c r="A203" t="s">
        <v>23</v>
      </c>
      <c r="B203" t="s">
        <v>52</v>
      </c>
      <c r="C203" t="s">
        <v>55</v>
      </c>
      <c r="D203" s="66">
        <v>36431.083732997664</v>
      </c>
      <c r="E203" s="66">
        <v>38391.019469849693</v>
      </c>
      <c r="F203" s="66">
        <v>40177.559998996156</v>
      </c>
      <c r="G203" s="66">
        <v>42345.065411847834</v>
      </c>
      <c r="H203" s="66">
        <v>44690.924474857857</v>
      </c>
      <c r="I203" s="66">
        <v>46824.236139990819</v>
      </c>
      <c r="J203" s="66">
        <v>48980.815128030124</v>
      </c>
    </row>
    <row r="204" spans="1:12" x14ac:dyDescent="0.3">
      <c r="A204" t="s">
        <v>51</v>
      </c>
      <c r="B204" t="s">
        <v>52</v>
      </c>
      <c r="C204" t="s">
        <v>55</v>
      </c>
      <c r="D204" s="66">
        <v>47389.437093210021</v>
      </c>
      <c r="E204" s="66">
        <v>45728.388239464359</v>
      </c>
      <c r="F204" s="66">
        <v>44736.636167965698</v>
      </c>
      <c r="G204" s="66">
        <v>44313.065475272546</v>
      </c>
      <c r="H204" s="66">
        <v>44512.237658149024</v>
      </c>
      <c r="I204" s="66">
        <v>44463.018385636904</v>
      </c>
      <c r="J204" s="66">
        <v>44507.235961160455</v>
      </c>
    </row>
    <row r="205" spans="1:12" x14ac:dyDescent="0.3">
      <c r="A205" t="s">
        <v>24</v>
      </c>
      <c r="B205" t="s">
        <v>52</v>
      </c>
      <c r="C205" t="s">
        <v>55</v>
      </c>
      <c r="D205" s="66">
        <v>39442.805779216229</v>
      </c>
      <c r="E205" s="66">
        <v>40694.006823047195</v>
      </c>
      <c r="F205" s="66">
        <v>43146.569735005018</v>
      </c>
      <c r="G205" s="66">
        <v>46320.469957051275</v>
      </c>
      <c r="H205" s="66">
        <v>49981.587827589668</v>
      </c>
      <c r="I205" s="66">
        <v>54245.969114675332</v>
      </c>
      <c r="J205" s="66">
        <v>58482.463955111933</v>
      </c>
    </row>
    <row r="206" spans="1:12" x14ac:dyDescent="0.3">
      <c r="A206" t="s">
        <v>53</v>
      </c>
      <c r="B206" t="s">
        <v>52</v>
      </c>
      <c r="C206" t="s">
        <v>56</v>
      </c>
      <c r="D206" s="66">
        <v>351408.08866926492</v>
      </c>
      <c r="E206" s="66">
        <v>409719.62578179111</v>
      </c>
      <c r="F206" s="66">
        <v>458278.24955872202</v>
      </c>
      <c r="G206" s="66">
        <v>492681.57473609276</v>
      </c>
      <c r="H206" s="66">
        <v>507821.21437507658</v>
      </c>
      <c r="I206" s="66">
        <v>515275.36368997017</v>
      </c>
      <c r="J206" s="66">
        <v>530793.39621939929</v>
      </c>
    </row>
    <row r="207" spans="1:12" x14ac:dyDescent="0.3">
      <c r="A207" t="s">
        <v>97</v>
      </c>
      <c r="B207" t="s">
        <v>52</v>
      </c>
      <c r="C207" t="s">
        <v>56</v>
      </c>
      <c r="D207" s="2">
        <f t="shared" ref="D207:J207" si="17">SUM(D208,D209,D211,D213:D214,D216:D218,D220,D222)</f>
        <v>311755.07055490906</v>
      </c>
      <c r="E207" s="2">
        <f t="shared" si="17"/>
        <v>365425.2195173385</v>
      </c>
      <c r="F207" s="2">
        <f t="shared" si="17"/>
        <v>410513.6771711153</v>
      </c>
      <c r="G207" s="2">
        <f t="shared" si="17"/>
        <v>443518.51679330081</v>
      </c>
      <c r="H207" s="2">
        <f t="shared" si="17"/>
        <v>458804.99385647511</v>
      </c>
      <c r="I207" s="2">
        <f t="shared" si="17"/>
        <v>467085.40043745114</v>
      </c>
      <c r="J207" s="2">
        <f t="shared" si="17"/>
        <v>483625.62370543595</v>
      </c>
    </row>
    <row r="208" spans="1:12" x14ac:dyDescent="0.3">
      <c r="A208" t="s">
        <v>18</v>
      </c>
      <c r="B208" t="s">
        <v>52</v>
      </c>
      <c r="C208" t="s">
        <v>56</v>
      </c>
      <c r="D208" s="66">
        <v>31513.890257265142</v>
      </c>
      <c r="E208" s="66">
        <v>41398.544301009242</v>
      </c>
      <c r="F208" s="66">
        <v>51829.759308558663</v>
      </c>
      <c r="G208" s="66">
        <v>62262.721092614869</v>
      </c>
      <c r="H208" s="66">
        <v>70999.244634704635</v>
      </c>
      <c r="I208" s="66">
        <v>78055.785417652514</v>
      </c>
      <c r="J208" s="66">
        <v>85364.98490905753</v>
      </c>
    </row>
    <row r="209" spans="1:18" x14ac:dyDescent="0.3">
      <c r="A209" t="s">
        <v>19</v>
      </c>
      <c r="B209" t="s">
        <v>52</v>
      </c>
      <c r="C209" t="s">
        <v>56</v>
      </c>
      <c r="D209" s="66">
        <v>26195.113143279337</v>
      </c>
      <c r="E209" s="66">
        <v>29922.686123036088</v>
      </c>
      <c r="F209" s="66">
        <v>33388.752901610227</v>
      </c>
      <c r="G209" s="66">
        <v>35360.337701610464</v>
      </c>
      <c r="H209" s="66">
        <v>36020.855916495333</v>
      </c>
      <c r="I209" s="66">
        <v>36083.85127243607</v>
      </c>
      <c r="J209" s="66">
        <v>36587.594789356197</v>
      </c>
    </row>
    <row r="210" spans="1:18" x14ac:dyDescent="0.3">
      <c r="A210" t="s">
        <v>44</v>
      </c>
      <c r="B210" t="s">
        <v>52</v>
      </c>
      <c r="C210" t="s">
        <v>56</v>
      </c>
      <c r="D210" s="66">
        <v>5350.7534203436089</v>
      </c>
      <c r="E210" s="66">
        <v>5802.6053720202281</v>
      </c>
      <c r="F210" s="66">
        <v>6228.7671091791899</v>
      </c>
      <c r="G210" s="66">
        <v>6413.7867733094508</v>
      </c>
      <c r="H210" s="66">
        <v>6459.3258222378954</v>
      </c>
      <c r="I210" s="66">
        <v>6409.9989599343799</v>
      </c>
      <c r="J210" s="66">
        <v>6370.6847986912835</v>
      </c>
    </row>
    <row r="211" spans="1:18" x14ac:dyDescent="0.3">
      <c r="A211" t="s">
        <v>20</v>
      </c>
      <c r="B211" t="s">
        <v>52</v>
      </c>
      <c r="C211" t="s">
        <v>56</v>
      </c>
      <c r="D211" s="66">
        <v>167778.45394164682</v>
      </c>
      <c r="E211" s="66">
        <v>194235.46328044147</v>
      </c>
      <c r="F211" s="66">
        <v>213953.74244051767</v>
      </c>
      <c r="G211" s="66">
        <v>226281.01687368637</v>
      </c>
      <c r="H211" s="66">
        <v>229775.56492865359</v>
      </c>
      <c r="I211" s="66">
        <v>231428.32249564119</v>
      </c>
      <c r="J211" s="66">
        <v>239291.5415706705</v>
      </c>
    </row>
    <row r="212" spans="1:18" x14ac:dyDescent="0.3">
      <c r="A212" t="s">
        <v>45</v>
      </c>
      <c r="B212" t="s">
        <v>52</v>
      </c>
      <c r="C212" t="s">
        <v>56</v>
      </c>
      <c r="D212" s="66">
        <v>5593.0272290443136</v>
      </c>
      <c r="E212" s="66">
        <v>6165.6466119667039</v>
      </c>
      <c r="F212" s="66">
        <v>6600.1961567952985</v>
      </c>
      <c r="G212" s="66">
        <v>6757.5646476136571</v>
      </c>
      <c r="H212" s="66">
        <v>6734.3183009183094</v>
      </c>
      <c r="I212" s="66">
        <v>6540.9814231031341</v>
      </c>
      <c r="J212" s="66">
        <v>6302.2033831853487</v>
      </c>
    </row>
    <row r="213" spans="1:18" x14ac:dyDescent="0.3">
      <c r="A213" t="s">
        <v>46</v>
      </c>
      <c r="B213" t="s">
        <v>52</v>
      </c>
      <c r="C213" t="s">
        <v>56</v>
      </c>
      <c r="D213" s="66">
        <v>11843.269740320073</v>
      </c>
      <c r="E213" s="66">
        <v>13486.189408302933</v>
      </c>
      <c r="F213" s="66">
        <v>14535.331721780642</v>
      </c>
      <c r="G213" s="66">
        <v>14982.500288361678</v>
      </c>
      <c r="H213" s="66">
        <v>14759.076488026163</v>
      </c>
      <c r="I213" s="66">
        <v>14299.471910577578</v>
      </c>
      <c r="J213" s="66">
        <v>13955.718425949646</v>
      </c>
    </row>
    <row r="214" spans="1:18" x14ac:dyDescent="0.3">
      <c r="A214" t="s">
        <v>21</v>
      </c>
      <c r="B214" t="s">
        <v>52</v>
      </c>
      <c r="C214" t="s">
        <v>56</v>
      </c>
      <c r="D214" s="66">
        <v>30719.100466030319</v>
      </c>
      <c r="E214" s="66">
        <v>35849.48214747187</v>
      </c>
      <c r="F214" s="66">
        <v>40110.479053336938</v>
      </c>
      <c r="G214" s="66">
        <v>43685.682849801524</v>
      </c>
      <c r="H214" s="66">
        <v>44072.156178680074</v>
      </c>
      <c r="I214" s="66">
        <v>43052.741125733693</v>
      </c>
      <c r="J214" s="66">
        <v>43083.459905400305</v>
      </c>
    </row>
    <row r="215" spans="1:18" x14ac:dyDescent="0.3">
      <c r="A215" t="s">
        <v>47</v>
      </c>
      <c r="B215" t="s">
        <v>52</v>
      </c>
      <c r="C215" t="s">
        <v>56</v>
      </c>
      <c r="D215" s="66">
        <v>8841.8700083837102</v>
      </c>
      <c r="E215" s="66">
        <v>9797.448905756557</v>
      </c>
      <c r="F215" s="66">
        <v>10634.258544901997</v>
      </c>
      <c r="G215" s="66">
        <v>10911.632018666973</v>
      </c>
      <c r="H215" s="66">
        <v>10958.925894637325</v>
      </c>
      <c r="I215" s="66">
        <v>10864.978521362662</v>
      </c>
      <c r="J215" s="66">
        <v>10716.986514146503</v>
      </c>
    </row>
    <row r="216" spans="1:18" x14ac:dyDescent="0.3">
      <c r="A216" t="s">
        <v>22</v>
      </c>
      <c r="B216" t="s">
        <v>52</v>
      </c>
      <c r="C216" t="s">
        <v>56</v>
      </c>
      <c r="D216" s="66">
        <v>7160.9000201979416</v>
      </c>
      <c r="E216" s="66">
        <v>8561.1719782820874</v>
      </c>
      <c r="F216" s="66">
        <v>9946.2623535657385</v>
      </c>
      <c r="G216" s="66">
        <v>10956.841983756542</v>
      </c>
      <c r="H216" s="66">
        <v>11653.997919047815</v>
      </c>
      <c r="I216" s="66">
        <v>11940.503680534097</v>
      </c>
      <c r="J216" s="66">
        <v>12267.17200349176</v>
      </c>
    </row>
    <row r="217" spans="1:18" x14ac:dyDescent="0.3">
      <c r="A217" t="s">
        <v>48</v>
      </c>
      <c r="B217" t="s">
        <v>52</v>
      </c>
      <c r="C217" t="s">
        <v>56</v>
      </c>
      <c r="D217" s="66">
        <v>12172.382721382288</v>
      </c>
      <c r="E217" s="66">
        <v>13390.107088143615</v>
      </c>
      <c r="F217" s="66">
        <v>14047.658217785562</v>
      </c>
      <c r="G217" s="66">
        <v>14016.281084917342</v>
      </c>
      <c r="H217" s="66">
        <v>13488.129618292447</v>
      </c>
      <c r="I217" s="66">
        <v>12749.390903522148</v>
      </c>
      <c r="J217" s="66">
        <v>12197.081704325754</v>
      </c>
    </row>
    <row r="218" spans="1:18" x14ac:dyDescent="0.3">
      <c r="A218" t="s">
        <v>49</v>
      </c>
      <c r="B218" t="s">
        <v>52</v>
      </c>
      <c r="C218" t="s">
        <v>56</v>
      </c>
      <c r="D218" s="66">
        <v>6475.5852701138065</v>
      </c>
      <c r="E218" s="66">
        <v>7780.1424754462578</v>
      </c>
      <c r="F218" s="66">
        <v>8771.8906780586403</v>
      </c>
      <c r="G218" s="66">
        <v>9555.6732808226843</v>
      </c>
      <c r="H218" s="66">
        <v>10046.593216999736</v>
      </c>
      <c r="I218" s="66">
        <v>10294.942988548539</v>
      </c>
      <c r="J218" s="66">
        <v>10475.549648476455</v>
      </c>
    </row>
    <row r="219" spans="1:18" x14ac:dyDescent="0.3">
      <c r="A219" t="s">
        <v>50</v>
      </c>
      <c r="B219" t="s">
        <v>52</v>
      </c>
      <c r="C219" t="s">
        <v>56</v>
      </c>
      <c r="D219" s="66">
        <v>6220.2318376363382</v>
      </c>
      <c r="E219" s="66">
        <v>7339.7884328124501</v>
      </c>
      <c r="F219" s="66">
        <v>8060.8421643889806</v>
      </c>
      <c r="G219" s="66">
        <v>8544.8292220324747</v>
      </c>
      <c r="H219" s="66">
        <v>8585.118317643306</v>
      </c>
      <c r="I219" s="66">
        <v>8509.7588364884014</v>
      </c>
      <c r="J219" s="66">
        <v>8467.6327794669614</v>
      </c>
    </row>
    <row r="220" spans="1:18" x14ac:dyDescent="0.3">
      <c r="A220" t="s">
        <v>23</v>
      </c>
      <c r="B220" t="s">
        <v>52</v>
      </c>
      <c r="C220" t="s">
        <v>56</v>
      </c>
      <c r="D220" s="66">
        <v>9626.4310750451768</v>
      </c>
      <c r="E220" s="66">
        <v>11170.787508461657</v>
      </c>
      <c r="F220" s="66">
        <v>12566.605438083901</v>
      </c>
      <c r="G220" s="66">
        <v>13796.531481885955</v>
      </c>
      <c r="H220" s="66">
        <v>14622.862898679134</v>
      </c>
      <c r="I220" s="66">
        <v>15228.468429168141</v>
      </c>
      <c r="J220" s="66">
        <v>15715.004924686025</v>
      </c>
    </row>
    <row r="221" spans="1:18" x14ac:dyDescent="0.3">
      <c r="A221" t="s">
        <v>51</v>
      </c>
      <c r="B221" t="s">
        <v>52</v>
      </c>
      <c r="C221" t="s">
        <v>56</v>
      </c>
      <c r="D221" s="66">
        <v>13647.135618947919</v>
      </c>
      <c r="E221" s="66">
        <v>15188.916941896634</v>
      </c>
      <c r="F221" s="66">
        <v>16240.508412341351</v>
      </c>
      <c r="G221" s="66">
        <v>16535.245281169424</v>
      </c>
      <c r="H221" s="66">
        <v>16278.532183164683</v>
      </c>
      <c r="I221" s="66">
        <v>15864.245511630452</v>
      </c>
      <c r="J221" s="66">
        <v>15310.265038473161</v>
      </c>
    </row>
    <row r="222" spans="1:18" x14ac:dyDescent="0.3">
      <c r="A222" t="s">
        <v>24</v>
      </c>
      <c r="B222" t="s">
        <v>52</v>
      </c>
      <c r="C222" t="s">
        <v>56</v>
      </c>
      <c r="D222" s="66">
        <v>8269.943919628131</v>
      </c>
      <c r="E222" s="66">
        <v>9630.645206743231</v>
      </c>
      <c r="F222" s="66">
        <v>11363.195057817276</v>
      </c>
      <c r="G222" s="66">
        <v>12620.930155843414</v>
      </c>
      <c r="H222" s="66">
        <v>13366.512056896092</v>
      </c>
      <c r="I222" s="66">
        <v>13951.922213637232</v>
      </c>
      <c r="J222" s="66">
        <v>14687.515824021793</v>
      </c>
    </row>
    <row r="223" spans="1:18" x14ac:dyDescent="0.3">
      <c r="A223" t="s">
        <v>53</v>
      </c>
      <c r="B223" t="s">
        <v>52</v>
      </c>
      <c r="C223" t="s">
        <v>57</v>
      </c>
      <c r="D223" s="66">
        <v>561826.45288235426</v>
      </c>
      <c r="E223" s="66">
        <v>587633.06030685722</v>
      </c>
      <c r="F223" s="66">
        <v>610028.73811556818</v>
      </c>
      <c r="G223" s="66">
        <v>637801.94637699949</v>
      </c>
      <c r="H223" s="66">
        <v>661948.88657091977</v>
      </c>
      <c r="I223" s="66">
        <v>679932.33754761936</v>
      </c>
      <c r="J223" s="66">
        <v>699693.24257626012</v>
      </c>
    </row>
    <row r="224" spans="1:18" x14ac:dyDescent="0.3">
      <c r="A224" t="s">
        <v>97</v>
      </c>
      <c r="B224" t="s">
        <v>52</v>
      </c>
      <c r="C224" t="s">
        <v>57</v>
      </c>
      <c r="D224" s="2">
        <f t="shared" ref="D224:J224" si="18">SUM(D225,D226,D228,D230:D231,D233:D235,D237,D239)</f>
        <v>514698.70313267747</v>
      </c>
      <c r="E224" s="2">
        <f t="shared" si="18"/>
        <v>540969.59743574786</v>
      </c>
      <c r="F224" s="2">
        <f t="shared" si="18"/>
        <v>564066.42151527549</v>
      </c>
      <c r="G224" s="2">
        <f t="shared" si="18"/>
        <v>591918.12165699969</v>
      </c>
      <c r="H224" s="2">
        <f t="shared" si="18"/>
        <v>616109.64843221242</v>
      </c>
      <c r="I224" s="2">
        <f t="shared" si="18"/>
        <v>633919.90625480842</v>
      </c>
      <c r="J224" s="2">
        <f t="shared" si="18"/>
        <v>653475.23142724123</v>
      </c>
      <c r="M224" s="23"/>
      <c r="N224" s="23"/>
      <c r="O224" s="23"/>
      <c r="P224" s="23"/>
      <c r="Q224" s="23"/>
      <c r="R224" s="23"/>
    </row>
    <row r="225" spans="1:10" x14ac:dyDescent="0.3">
      <c r="A225" t="s">
        <v>18</v>
      </c>
      <c r="B225" t="s">
        <v>52</v>
      </c>
      <c r="C225" t="s">
        <v>57</v>
      </c>
      <c r="D225" s="66">
        <v>53637.583726832556</v>
      </c>
      <c r="E225" s="66">
        <v>57994.211467654452</v>
      </c>
      <c r="F225" s="66">
        <v>62696.39684578064</v>
      </c>
      <c r="G225" s="66">
        <v>68656.155709672006</v>
      </c>
      <c r="H225" s="66">
        <v>74832.973531533033</v>
      </c>
      <c r="I225" s="66">
        <v>80559.681834548057</v>
      </c>
      <c r="J225" s="66">
        <v>85899.512780252422</v>
      </c>
    </row>
    <row r="226" spans="1:10" x14ac:dyDescent="0.3">
      <c r="A226" t="s">
        <v>19</v>
      </c>
      <c r="B226" t="s">
        <v>52</v>
      </c>
      <c r="C226" t="s">
        <v>57</v>
      </c>
      <c r="D226" s="66">
        <v>37412.736271349422</v>
      </c>
      <c r="E226" s="66">
        <v>39947.978376774852</v>
      </c>
      <c r="F226" s="66">
        <v>42517.10632611662</v>
      </c>
      <c r="G226" s="66">
        <v>45382.283996553808</v>
      </c>
      <c r="H226" s="66">
        <v>47720.957096687824</v>
      </c>
      <c r="I226" s="66">
        <v>49780.842434346465</v>
      </c>
      <c r="J226" s="66">
        <v>51781.732864178513</v>
      </c>
    </row>
    <row r="227" spans="1:10" x14ac:dyDescent="0.3">
      <c r="A227" t="s">
        <v>44</v>
      </c>
      <c r="B227" t="s">
        <v>52</v>
      </c>
      <c r="C227" t="s">
        <v>57</v>
      </c>
      <c r="D227" s="66">
        <v>6616.6189019909652</v>
      </c>
      <c r="E227" s="66">
        <v>6617.3337001835789</v>
      </c>
      <c r="F227" s="66">
        <v>6510.3178215743965</v>
      </c>
      <c r="G227" s="66">
        <v>6616.8701074837281</v>
      </c>
      <c r="H227" s="66">
        <v>6856.0953628590414</v>
      </c>
      <c r="I227" s="66">
        <v>7091.3457547894677</v>
      </c>
      <c r="J227" s="66">
        <v>7290.1283260210548</v>
      </c>
    </row>
    <row r="228" spans="1:10" x14ac:dyDescent="0.3">
      <c r="A228" t="s">
        <v>20</v>
      </c>
      <c r="B228" t="s">
        <v>52</v>
      </c>
      <c r="C228" t="s">
        <v>57</v>
      </c>
      <c r="D228" s="66">
        <v>309773.5209525972</v>
      </c>
      <c r="E228" s="66">
        <v>324853.43943582271</v>
      </c>
      <c r="F228" s="66">
        <v>336050.41319176171</v>
      </c>
      <c r="G228" s="66">
        <v>348290.69854237244</v>
      </c>
      <c r="H228" s="66">
        <v>359621.99877919804</v>
      </c>
      <c r="I228" s="66">
        <v>366526.57285475254</v>
      </c>
      <c r="J228" s="66">
        <v>375575.21344734944</v>
      </c>
    </row>
    <row r="229" spans="1:10" x14ac:dyDescent="0.3">
      <c r="A229" t="s">
        <v>45</v>
      </c>
      <c r="B229" t="s">
        <v>52</v>
      </c>
      <c r="C229" t="s">
        <v>57</v>
      </c>
      <c r="D229" s="66">
        <v>6007.1658223048462</v>
      </c>
      <c r="E229" s="66">
        <v>5895.6057442156743</v>
      </c>
      <c r="F229" s="66">
        <v>5871.4570470025728</v>
      </c>
      <c r="G229" s="66">
        <v>5798.3794252161033</v>
      </c>
      <c r="H229" s="66">
        <v>5758.1538971325135</v>
      </c>
      <c r="I229" s="66">
        <v>5674.326772685904</v>
      </c>
      <c r="J229" s="66">
        <v>5610.5867615641164</v>
      </c>
    </row>
    <row r="230" spans="1:10" x14ac:dyDescent="0.3">
      <c r="A230" t="s">
        <v>46</v>
      </c>
      <c r="B230" t="s">
        <v>52</v>
      </c>
      <c r="C230" t="s">
        <v>57</v>
      </c>
      <c r="D230" s="66">
        <v>14931.415922900182</v>
      </c>
      <c r="E230" s="66">
        <v>15282.266136525253</v>
      </c>
      <c r="F230" s="66">
        <v>15552.644154498597</v>
      </c>
      <c r="G230" s="66">
        <v>16137.808243659973</v>
      </c>
      <c r="H230" s="66">
        <v>16567.424573853037</v>
      </c>
      <c r="I230" s="66">
        <v>16855.684097150177</v>
      </c>
      <c r="J230" s="66">
        <v>17131.832716342447</v>
      </c>
    </row>
    <row r="231" spans="1:10" x14ac:dyDescent="0.3">
      <c r="A231" t="s">
        <v>21</v>
      </c>
      <c r="B231" t="s">
        <v>52</v>
      </c>
      <c r="C231" t="s">
        <v>57</v>
      </c>
      <c r="D231" s="66">
        <v>41098.689665076068</v>
      </c>
      <c r="E231" s="66">
        <v>43793.054880020369</v>
      </c>
      <c r="F231" s="66">
        <v>45864.897357579212</v>
      </c>
      <c r="G231" s="66">
        <v>49473.022784910907</v>
      </c>
      <c r="H231" s="66">
        <v>51485.736870259097</v>
      </c>
      <c r="I231" s="66">
        <v>52211.186408954476</v>
      </c>
      <c r="J231" s="66">
        <v>52939.902274758904</v>
      </c>
    </row>
    <row r="232" spans="1:10" x14ac:dyDescent="0.3">
      <c r="A232" t="s">
        <v>47</v>
      </c>
      <c r="B232" t="s">
        <v>52</v>
      </c>
      <c r="C232" t="s">
        <v>57</v>
      </c>
      <c r="D232" s="66">
        <v>10359.89182630824</v>
      </c>
      <c r="E232" s="66">
        <v>10139.05936041166</v>
      </c>
      <c r="F232" s="66">
        <v>10007.720969654029</v>
      </c>
      <c r="G232" s="66">
        <v>10026.268703629374</v>
      </c>
      <c r="H232" s="66">
        <v>10017.345256303168</v>
      </c>
      <c r="I232" s="66">
        <v>9939.5064022475126</v>
      </c>
      <c r="J232" s="66">
        <v>9832.3658346794327</v>
      </c>
    </row>
    <row r="233" spans="1:10" x14ac:dyDescent="0.3">
      <c r="A233" t="s">
        <v>22</v>
      </c>
      <c r="B233" t="s">
        <v>52</v>
      </c>
      <c r="C233" t="s">
        <v>57</v>
      </c>
      <c r="D233" s="66">
        <v>8858.5687716613866</v>
      </c>
      <c r="E233" s="66">
        <v>8998.9675807862277</v>
      </c>
      <c r="F233" s="66">
        <v>9103.5586484847972</v>
      </c>
      <c r="G233" s="66">
        <v>9398.6890117466028</v>
      </c>
      <c r="H233" s="66">
        <v>9510.6772037751962</v>
      </c>
      <c r="I233" s="66">
        <v>9885.7182131393984</v>
      </c>
      <c r="J233" s="66">
        <v>10299.994395554731</v>
      </c>
    </row>
    <row r="234" spans="1:10" x14ac:dyDescent="0.3">
      <c r="A234" t="s">
        <v>48</v>
      </c>
      <c r="B234" t="s">
        <v>52</v>
      </c>
      <c r="C234" t="s">
        <v>57</v>
      </c>
      <c r="D234" s="66">
        <v>13770.130256413764</v>
      </c>
      <c r="E234" s="66">
        <v>13780.254207080172</v>
      </c>
      <c r="F234" s="66">
        <v>13630.834774321616</v>
      </c>
      <c r="G234" s="66">
        <v>13168.756824930993</v>
      </c>
      <c r="H234" s="66">
        <v>12846.025240378467</v>
      </c>
      <c r="I234" s="66">
        <v>12951.087630134394</v>
      </c>
      <c r="J234" s="66">
        <v>13179.203078176775</v>
      </c>
    </row>
    <row r="235" spans="1:10" x14ac:dyDescent="0.3">
      <c r="A235" t="s">
        <v>49</v>
      </c>
      <c r="B235" t="s">
        <v>52</v>
      </c>
      <c r="C235" t="s">
        <v>57</v>
      </c>
      <c r="D235" s="66">
        <v>7663.3220727341277</v>
      </c>
      <c r="E235" s="66">
        <v>7442.8843591855903</v>
      </c>
      <c r="F235" s="66">
        <v>7508.5004466347245</v>
      </c>
      <c r="G235" s="66">
        <v>7844.7035497815959</v>
      </c>
      <c r="H235" s="66">
        <v>7990.7423945505861</v>
      </c>
      <c r="I235" s="66">
        <v>8010.728679254441</v>
      </c>
      <c r="J235" s="66">
        <v>7951.6397024779972</v>
      </c>
    </row>
    <row r="236" spans="1:10" x14ac:dyDescent="0.3">
      <c r="A236" t="s">
        <v>50</v>
      </c>
      <c r="B236" t="s">
        <v>52</v>
      </c>
      <c r="C236" t="s">
        <v>57</v>
      </c>
      <c r="D236" s="66">
        <v>8087.6459112307311</v>
      </c>
      <c r="E236" s="66">
        <v>8338.769247659613</v>
      </c>
      <c r="F236" s="66">
        <v>8345.9653423688615</v>
      </c>
      <c r="G236" s="66">
        <v>8414.617240112555</v>
      </c>
      <c r="H236" s="66">
        <v>8520.4134637264324</v>
      </c>
      <c r="I236" s="66">
        <v>8594.51626035548</v>
      </c>
      <c r="J236" s="66">
        <v>8700.431226387831</v>
      </c>
    </row>
    <row r="237" spans="1:10" x14ac:dyDescent="0.3">
      <c r="A237" t="s">
        <v>23</v>
      </c>
      <c r="B237" t="s">
        <v>52</v>
      </c>
      <c r="C237" t="s">
        <v>57</v>
      </c>
      <c r="D237" s="66">
        <v>12481.485191957145</v>
      </c>
      <c r="E237" s="66">
        <v>12793.193021688647</v>
      </c>
      <c r="F237" s="66">
        <v>13146.834562919956</v>
      </c>
      <c r="G237" s="66">
        <v>13574.403106266223</v>
      </c>
      <c r="H237" s="66">
        <v>13898.212626463008</v>
      </c>
      <c r="I237" s="66">
        <v>14492.295430841039</v>
      </c>
      <c r="J237" s="66">
        <v>15181.179947283839</v>
      </c>
    </row>
    <row r="238" spans="1:10" x14ac:dyDescent="0.3">
      <c r="A238" t="s">
        <v>51</v>
      </c>
      <c r="B238" t="s">
        <v>52</v>
      </c>
      <c r="C238" t="s">
        <v>57</v>
      </c>
      <c r="D238" s="66">
        <v>16056.42728784206</v>
      </c>
      <c r="E238" s="66">
        <v>15672.694818639011</v>
      </c>
      <c r="F238" s="66">
        <v>15226.855419692933</v>
      </c>
      <c r="G238" s="66">
        <v>15027.689243558001</v>
      </c>
      <c r="H238" s="66">
        <v>14687.23015868631</v>
      </c>
      <c r="I238" s="66">
        <v>14712.736102732644</v>
      </c>
      <c r="J238" s="66">
        <v>14784.499000366382</v>
      </c>
    </row>
    <row r="239" spans="1:10" x14ac:dyDescent="0.3">
      <c r="A239" t="s">
        <v>24</v>
      </c>
      <c r="B239" t="s">
        <v>52</v>
      </c>
      <c r="C239" t="s">
        <v>57</v>
      </c>
      <c r="D239" s="66">
        <v>15071.25030115564</v>
      </c>
      <c r="E239" s="66">
        <v>16083.347970209572</v>
      </c>
      <c r="F239" s="66">
        <v>17995.235207177706</v>
      </c>
      <c r="G239" s="66">
        <v>19991.599887105269</v>
      </c>
      <c r="H239" s="66">
        <v>21634.900115514207</v>
      </c>
      <c r="I239" s="66">
        <v>22646.108671687452</v>
      </c>
      <c r="J239" s="66">
        <v>23535.020220866241</v>
      </c>
    </row>
    <row r="240" spans="1:10" x14ac:dyDescent="0.3">
      <c r="A240" t="s">
        <v>53</v>
      </c>
      <c r="B240" t="s">
        <v>3</v>
      </c>
      <c r="C240" t="s">
        <v>7</v>
      </c>
      <c r="D240" s="2">
        <f>SUM(D242:D256)</f>
        <v>121332</v>
      </c>
      <c r="E240" s="2">
        <f t="shared" ref="E240:J240" si="19">SUM(E242:E256)</f>
        <v>125852</v>
      </c>
      <c r="F240" s="2">
        <f t="shared" si="19"/>
        <v>130610</v>
      </c>
      <c r="G240" s="2">
        <f t="shared" si="19"/>
        <v>137666</v>
      </c>
      <c r="H240" s="2">
        <f t="shared" si="19"/>
        <v>144153</v>
      </c>
      <c r="I240" s="2">
        <f t="shared" si="19"/>
        <v>150082</v>
      </c>
      <c r="J240" s="2">
        <f t="shared" si="19"/>
        <v>155647</v>
      </c>
    </row>
    <row r="241" spans="1:10" x14ac:dyDescent="0.3">
      <c r="A241" t="s">
        <v>97</v>
      </c>
      <c r="B241" t="s">
        <v>3</v>
      </c>
      <c r="C241" t="s">
        <v>7</v>
      </c>
      <c r="D241" s="2">
        <f>SUM(D242,D243,D245,D247:D248,D250:D252,D254,D256)</f>
        <v>110543</v>
      </c>
      <c r="E241" s="2">
        <f t="shared" ref="E241:J241" si="20">SUM(E242,E243,E245,E247:E248,E250:E252,E254,E256)</f>
        <v>115203</v>
      </c>
      <c r="F241" s="2">
        <f t="shared" si="20"/>
        <v>120038</v>
      </c>
      <c r="G241" s="2">
        <f t="shared" si="20"/>
        <v>127089</v>
      </c>
      <c r="H241" s="2">
        <f t="shared" si="20"/>
        <v>133513</v>
      </c>
      <c r="I241" s="2">
        <f t="shared" si="20"/>
        <v>139345</v>
      </c>
      <c r="J241" s="2">
        <f t="shared" si="20"/>
        <v>144811</v>
      </c>
    </row>
    <row r="242" spans="1:10" x14ac:dyDescent="0.3">
      <c r="A242" t="s">
        <v>18</v>
      </c>
      <c r="B242" t="s">
        <v>3</v>
      </c>
      <c r="C242" t="s">
        <v>7</v>
      </c>
      <c r="D242" s="66">
        <f>Jobs!B65</f>
        <v>14066</v>
      </c>
      <c r="E242" s="66">
        <f>Jobs!C65</f>
        <v>15980</v>
      </c>
      <c r="F242" s="66">
        <f>Jobs!D65</f>
        <v>17710</v>
      </c>
      <c r="G242" s="66">
        <f>Jobs!E65</f>
        <v>19573</v>
      </c>
      <c r="H242" s="66">
        <f>Jobs!F65</f>
        <v>21332</v>
      </c>
      <c r="I242" s="66">
        <f>Jobs!G65</f>
        <v>23050</v>
      </c>
      <c r="J242" s="66">
        <f>Jobs!H65</f>
        <v>24853</v>
      </c>
    </row>
    <row r="243" spans="1:10" x14ac:dyDescent="0.3">
      <c r="A243" t="s">
        <v>19</v>
      </c>
      <c r="B243" t="s">
        <v>3</v>
      </c>
      <c r="C243" t="s">
        <v>7</v>
      </c>
      <c r="D243" s="66">
        <f>Jobs!B66</f>
        <v>7878</v>
      </c>
      <c r="E243" s="66">
        <f>Jobs!C66</f>
        <v>8174</v>
      </c>
      <c r="F243" s="66">
        <f>Jobs!D66</f>
        <v>8483</v>
      </c>
      <c r="G243" s="66">
        <f>Jobs!E66</f>
        <v>8932</v>
      </c>
      <c r="H243" s="66">
        <f>Jobs!F66</f>
        <v>9414</v>
      </c>
      <c r="I243" s="66">
        <f>Jobs!G66</f>
        <v>9903</v>
      </c>
      <c r="J243" s="66">
        <f>Jobs!H66</f>
        <v>10373</v>
      </c>
    </row>
    <row r="244" spans="1:10" x14ac:dyDescent="0.3">
      <c r="A244" t="s">
        <v>44</v>
      </c>
      <c r="B244" t="s">
        <v>3</v>
      </c>
      <c r="C244" t="s">
        <v>7</v>
      </c>
      <c r="D244" s="66">
        <f>Jobs!B67</f>
        <v>2435</v>
      </c>
      <c r="E244" s="66">
        <f>Jobs!C67</f>
        <v>2467</v>
      </c>
      <c r="F244" s="66">
        <f>Jobs!D67</f>
        <v>2512</v>
      </c>
      <c r="G244" s="66">
        <f>Jobs!E67</f>
        <v>2550</v>
      </c>
      <c r="H244" s="66">
        <f>Jobs!F67</f>
        <v>2589</v>
      </c>
      <c r="I244" s="66">
        <f>Jobs!G67</f>
        <v>2638</v>
      </c>
      <c r="J244" s="66">
        <f>Jobs!H67</f>
        <v>2695</v>
      </c>
    </row>
    <row r="245" spans="1:10" x14ac:dyDescent="0.3">
      <c r="A245" t="s">
        <v>20</v>
      </c>
      <c r="B245" t="s">
        <v>3</v>
      </c>
      <c r="C245" t="s">
        <v>7</v>
      </c>
      <c r="D245" s="66">
        <f>Jobs!B68</f>
        <v>66029</v>
      </c>
      <c r="E245" s="66">
        <f>Jobs!C68</f>
        <v>68046</v>
      </c>
      <c r="F245" s="66">
        <f>Jobs!D68</f>
        <v>70188</v>
      </c>
      <c r="G245" s="66">
        <f>Jobs!E68</f>
        <v>73616</v>
      </c>
      <c r="H245" s="66">
        <f>Jobs!F68</f>
        <v>76641</v>
      </c>
      <c r="I245" s="66">
        <f>Jobs!G68</f>
        <v>79227</v>
      </c>
      <c r="J245" s="66">
        <f>Jobs!H68</f>
        <v>81461</v>
      </c>
    </row>
    <row r="246" spans="1:10" x14ac:dyDescent="0.3">
      <c r="A246" t="s">
        <v>45</v>
      </c>
      <c r="B246" t="s">
        <v>3</v>
      </c>
      <c r="C246" t="s">
        <v>7</v>
      </c>
      <c r="D246" s="66">
        <f>Jobs!B69</f>
        <v>1109</v>
      </c>
      <c r="E246" s="66">
        <f>Jobs!C69</f>
        <v>1076</v>
      </c>
      <c r="F246" s="66">
        <f>Jobs!D69</f>
        <v>1045</v>
      </c>
      <c r="G246" s="66">
        <f>Jobs!E69</f>
        <v>1032</v>
      </c>
      <c r="H246" s="66">
        <f>Jobs!F69</f>
        <v>1025</v>
      </c>
      <c r="I246" s="66">
        <f>Jobs!G69</f>
        <v>1023</v>
      </c>
      <c r="J246" s="66">
        <f>Jobs!H69</f>
        <v>1019</v>
      </c>
    </row>
    <row r="247" spans="1:10" x14ac:dyDescent="0.3">
      <c r="A247" t="s">
        <v>46</v>
      </c>
      <c r="B247" t="s">
        <v>3</v>
      </c>
      <c r="C247" t="s">
        <v>7</v>
      </c>
      <c r="D247" s="66">
        <f>Jobs!B70</f>
        <v>2530</v>
      </c>
      <c r="E247" s="66">
        <f>Jobs!C70</f>
        <v>2509</v>
      </c>
      <c r="F247" s="66">
        <f>Jobs!D70</f>
        <v>2504</v>
      </c>
      <c r="G247" s="66">
        <f>Jobs!E70</f>
        <v>2547</v>
      </c>
      <c r="H247" s="66">
        <f>Jobs!F70</f>
        <v>2603</v>
      </c>
      <c r="I247" s="66">
        <f>Jobs!G70</f>
        <v>2669</v>
      </c>
      <c r="J247" s="66">
        <f>Jobs!H70</f>
        <v>2727</v>
      </c>
    </row>
    <row r="248" spans="1:10" x14ac:dyDescent="0.3">
      <c r="A248" t="s">
        <v>21</v>
      </c>
      <c r="B248" t="s">
        <v>3</v>
      </c>
      <c r="C248" t="s">
        <v>7</v>
      </c>
      <c r="D248" s="66">
        <f>Jobs!B71</f>
        <v>8843</v>
      </c>
      <c r="E248" s="66">
        <f>Jobs!C71</f>
        <v>9128</v>
      </c>
      <c r="F248" s="66">
        <f>Jobs!D71</f>
        <v>9434</v>
      </c>
      <c r="G248" s="66">
        <f>Jobs!E71</f>
        <v>10163</v>
      </c>
      <c r="H248" s="66">
        <f>Jobs!F71</f>
        <v>10676</v>
      </c>
      <c r="I248" s="66">
        <f>Jobs!G71</f>
        <v>11068</v>
      </c>
      <c r="J248" s="66">
        <f>Jobs!H71</f>
        <v>11413</v>
      </c>
    </row>
    <row r="249" spans="1:10" x14ac:dyDescent="0.3">
      <c r="A249" t="s">
        <v>47</v>
      </c>
      <c r="B249" t="s">
        <v>3</v>
      </c>
      <c r="C249" t="s">
        <v>7</v>
      </c>
      <c r="D249" s="66">
        <f>Jobs!B72</f>
        <v>2359</v>
      </c>
      <c r="E249" s="66">
        <f>Jobs!C72</f>
        <v>2316</v>
      </c>
      <c r="F249" s="66">
        <f>Jobs!D72</f>
        <v>2299</v>
      </c>
      <c r="G249" s="66">
        <f>Jobs!E72</f>
        <v>2301</v>
      </c>
      <c r="H249" s="66">
        <f>Jobs!F72</f>
        <v>2325</v>
      </c>
      <c r="I249" s="66">
        <f>Jobs!G72</f>
        <v>2364</v>
      </c>
      <c r="J249" s="66">
        <f>Jobs!H72</f>
        <v>2400</v>
      </c>
    </row>
    <row r="250" spans="1:10" x14ac:dyDescent="0.3">
      <c r="A250" t="s">
        <v>22</v>
      </c>
      <c r="B250" t="s">
        <v>3</v>
      </c>
      <c r="C250" t="s">
        <v>7</v>
      </c>
      <c r="D250" s="66">
        <f>Jobs!B73</f>
        <v>1679</v>
      </c>
      <c r="E250" s="66">
        <f>Jobs!C73</f>
        <v>1753</v>
      </c>
      <c r="F250" s="66">
        <f>Jobs!D73</f>
        <v>1814</v>
      </c>
      <c r="G250" s="66">
        <f>Jobs!E73</f>
        <v>1895</v>
      </c>
      <c r="H250" s="66">
        <f>Jobs!F73</f>
        <v>1978</v>
      </c>
      <c r="I250" s="66">
        <f>Jobs!G73</f>
        <v>2059</v>
      </c>
      <c r="J250" s="66">
        <f>Jobs!H73</f>
        <v>2143</v>
      </c>
    </row>
    <row r="251" spans="1:10" x14ac:dyDescent="0.3">
      <c r="A251" t="s">
        <v>48</v>
      </c>
      <c r="B251" t="s">
        <v>3</v>
      </c>
      <c r="C251" t="s">
        <v>7</v>
      </c>
      <c r="D251" s="66">
        <f>Jobs!B74</f>
        <v>3067</v>
      </c>
      <c r="E251" s="66">
        <f>Jobs!C74</f>
        <v>2983</v>
      </c>
      <c r="F251" s="66">
        <f>Jobs!D74</f>
        <v>2954</v>
      </c>
      <c r="G251" s="66">
        <f>Jobs!E74</f>
        <v>2993</v>
      </c>
      <c r="H251" s="66">
        <f>Jobs!F74</f>
        <v>3025</v>
      </c>
      <c r="I251" s="66">
        <f>Jobs!G74</f>
        <v>3025</v>
      </c>
      <c r="J251" s="66">
        <f>Jobs!H74</f>
        <v>3007</v>
      </c>
    </row>
    <row r="252" spans="1:10" x14ac:dyDescent="0.3">
      <c r="A252" t="s">
        <v>49</v>
      </c>
      <c r="B252" t="s">
        <v>3</v>
      </c>
      <c r="C252" t="s">
        <v>7</v>
      </c>
      <c r="D252" s="66">
        <f>Jobs!B75</f>
        <v>1367</v>
      </c>
      <c r="E252" s="66">
        <f>Jobs!C75</f>
        <v>1377</v>
      </c>
      <c r="F252" s="66">
        <f>Jobs!D75</f>
        <v>1385</v>
      </c>
      <c r="G252" s="66">
        <f>Jobs!E75</f>
        <v>1416</v>
      </c>
      <c r="H252" s="66">
        <f>Jobs!F75</f>
        <v>1454</v>
      </c>
      <c r="I252" s="66">
        <f>Jobs!G75</f>
        <v>1496</v>
      </c>
      <c r="J252" s="66">
        <f>Jobs!H75</f>
        <v>1544</v>
      </c>
    </row>
    <row r="253" spans="1:10" x14ac:dyDescent="0.3">
      <c r="A253" t="s">
        <v>50</v>
      </c>
      <c r="B253" t="s">
        <v>3</v>
      </c>
      <c r="C253" t="s">
        <v>7</v>
      </c>
      <c r="D253" s="66">
        <f>Jobs!B76</f>
        <v>793</v>
      </c>
      <c r="E253" s="66">
        <f>Jobs!C76</f>
        <v>799</v>
      </c>
      <c r="F253" s="66">
        <f>Jobs!D76</f>
        <v>793</v>
      </c>
      <c r="G253" s="66">
        <f>Jobs!E76</f>
        <v>800</v>
      </c>
      <c r="H253" s="66">
        <f>Jobs!F76</f>
        <v>810</v>
      </c>
      <c r="I253" s="66">
        <f>Jobs!G76</f>
        <v>823</v>
      </c>
      <c r="J253" s="66">
        <f>Jobs!H76</f>
        <v>837</v>
      </c>
    </row>
    <row r="254" spans="1:10" x14ac:dyDescent="0.3">
      <c r="A254" t="s">
        <v>23</v>
      </c>
      <c r="B254" t="s">
        <v>3</v>
      </c>
      <c r="C254" t="s">
        <v>7</v>
      </c>
      <c r="D254" s="66">
        <f>Jobs!B77</f>
        <v>1746</v>
      </c>
      <c r="E254" s="66">
        <f>Jobs!C77</f>
        <v>1835</v>
      </c>
      <c r="F254" s="66">
        <f>Jobs!D77</f>
        <v>1925</v>
      </c>
      <c r="G254" s="66">
        <f>Jobs!E77</f>
        <v>2035</v>
      </c>
      <c r="H254" s="66">
        <f>Jobs!F77</f>
        <v>2146</v>
      </c>
      <c r="I254" s="66">
        <f>Jobs!G77</f>
        <v>2248</v>
      </c>
      <c r="J254" s="66">
        <f>Jobs!H77</f>
        <v>2342</v>
      </c>
    </row>
    <row r="255" spans="1:10" x14ac:dyDescent="0.3">
      <c r="A255" t="s">
        <v>51</v>
      </c>
      <c r="B255" t="s">
        <v>3</v>
      </c>
      <c r="C255" t="s">
        <v>7</v>
      </c>
      <c r="D255" s="66">
        <f>Jobs!B78</f>
        <v>4093</v>
      </c>
      <c r="E255" s="66">
        <f>Jobs!C78</f>
        <v>3991</v>
      </c>
      <c r="F255" s="66">
        <f>Jobs!D78</f>
        <v>3923</v>
      </c>
      <c r="G255" s="66">
        <f>Jobs!E78</f>
        <v>3894</v>
      </c>
      <c r="H255" s="66">
        <f>Jobs!F78</f>
        <v>3891</v>
      </c>
      <c r="I255" s="66">
        <f>Jobs!G78</f>
        <v>3889</v>
      </c>
      <c r="J255" s="66">
        <f>Jobs!H78</f>
        <v>3885</v>
      </c>
    </row>
    <row r="256" spans="1:10" x14ac:dyDescent="0.3">
      <c r="A256" t="s">
        <v>24</v>
      </c>
      <c r="B256" t="s">
        <v>3</v>
      </c>
      <c r="C256" t="s">
        <v>7</v>
      </c>
      <c r="D256" s="66">
        <f>Jobs!B79</f>
        <v>3338</v>
      </c>
      <c r="E256" s="66">
        <f>Jobs!C79</f>
        <v>3418</v>
      </c>
      <c r="F256" s="66">
        <f>Jobs!D79</f>
        <v>3641</v>
      </c>
      <c r="G256" s="66">
        <f>Jobs!E79</f>
        <v>3919</v>
      </c>
      <c r="H256" s="66">
        <f>Jobs!F79</f>
        <v>4244</v>
      </c>
      <c r="I256" s="66">
        <f>Jobs!G79</f>
        <v>4600</v>
      </c>
      <c r="J256" s="66">
        <f>Jobs!H79</f>
        <v>4948</v>
      </c>
    </row>
    <row r="257" spans="1:10" x14ac:dyDescent="0.3">
      <c r="A257" t="s">
        <v>53</v>
      </c>
      <c r="B257" t="s">
        <v>3</v>
      </c>
      <c r="C257" t="s">
        <v>8</v>
      </c>
      <c r="D257" s="2">
        <f>SUM(D259:D273)</f>
        <v>144787</v>
      </c>
      <c r="E257" s="2">
        <f t="shared" ref="E257:J257" si="21">SUM(E259:E273)</f>
        <v>150606</v>
      </c>
      <c r="F257" s="2">
        <f t="shared" si="21"/>
        <v>151359</v>
      </c>
      <c r="G257" s="2">
        <f t="shared" si="21"/>
        <v>165292</v>
      </c>
      <c r="H257" s="2">
        <f t="shared" si="21"/>
        <v>173250</v>
      </c>
      <c r="I257" s="2">
        <f t="shared" si="21"/>
        <v>180496</v>
      </c>
      <c r="J257" s="2">
        <f t="shared" si="21"/>
        <v>187279</v>
      </c>
    </row>
    <row r="258" spans="1:10" x14ac:dyDescent="0.3">
      <c r="A258" t="s">
        <v>97</v>
      </c>
      <c r="B258" t="s">
        <v>3</v>
      </c>
      <c r="C258" t="s">
        <v>8</v>
      </c>
      <c r="D258" s="2">
        <f>SUM(D259,D260,D262,D264:D265,D267:D269,D271,D273)</f>
        <v>135866</v>
      </c>
      <c r="E258" s="2">
        <f t="shared" ref="E258:J258" si="22">SUM(E259,E260,E262,E264:E265,E267:E269,E271,E273)</f>
        <v>141820</v>
      </c>
      <c r="F258" s="2">
        <f t="shared" si="22"/>
        <v>142583</v>
      </c>
      <c r="G258" s="2">
        <f t="shared" si="22"/>
        <v>156597</v>
      </c>
      <c r="H258" s="2">
        <f t="shared" si="22"/>
        <v>164511</v>
      </c>
      <c r="I258" s="2">
        <f t="shared" si="22"/>
        <v>171679</v>
      </c>
      <c r="J258" s="2">
        <f t="shared" si="22"/>
        <v>178384</v>
      </c>
    </row>
    <row r="259" spans="1:10" x14ac:dyDescent="0.3">
      <c r="A259" t="s">
        <v>18</v>
      </c>
      <c r="B259" t="s">
        <v>3</v>
      </c>
      <c r="C259" t="s">
        <v>8</v>
      </c>
      <c r="D259" s="2">
        <f>Jobs!B85</f>
        <v>17518</v>
      </c>
      <c r="E259" s="2">
        <f>Jobs!C85</f>
        <v>19903</v>
      </c>
      <c r="F259" s="2">
        <f>Jobs!D85</f>
        <v>20174</v>
      </c>
      <c r="G259" s="2">
        <f>Jobs!E85</f>
        <v>24379</v>
      </c>
      <c r="H259" s="2">
        <f>Jobs!F85</f>
        <v>26571</v>
      </c>
      <c r="I259" s="2">
        <f>Jobs!G85</f>
        <v>28710</v>
      </c>
      <c r="J259" s="2">
        <f>Jobs!H85</f>
        <v>30955</v>
      </c>
    </row>
    <row r="260" spans="1:10" x14ac:dyDescent="0.3">
      <c r="A260" t="s">
        <v>19</v>
      </c>
      <c r="B260" t="s">
        <v>3</v>
      </c>
      <c r="C260" t="s">
        <v>8</v>
      </c>
      <c r="D260" s="2">
        <f>Jobs!B86</f>
        <v>9043</v>
      </c>
      <c r="E260" s="2">
        <f>Jobs!C86</f>
        <v>9385</v>
      </c>
      <c r="F260" s="2">
        <f>Jobs!D86</f>
        <v>9424</v>
      </c>
      <c r="G260" s="2">
        <f>Jobs!E86</f>
        <v>10255</v>
      </c>
      <c r="H260" s="2">
        <f>Jobs!F86</f>
        <v>10808</v>
      </c>
      <c r="I260" s="2">
        <f>Jobs!G86</f>
        <v>11370</v>
      </c>
      <c r="J260" s="2">
        <f>Jobs!H86</f>
        <v>11909</v>
      </c>
    </row>
    <row r="261" spans="1:10" x14ac:dyDescent="0.3">
      <c r="A261" t="s">
        <v>44</v>
      </c>
      <c r="B261" t="s">
        <v>3</v>
      </c>
      <c r="C261" t="s">
        <v>8</v>
      </c>
      <c r="D261" s="2">
        <f>Jobs!B87</f>
        <v>1337</v>
      </c>
      <c r="E261" s="2">
        <f>Jobs!C87</f>
        <v>1353</v>
      </c>
      <c r="F261" s="2">
        <f>Jobs!D87</f>
        <v>1355</v>
      </c>
      <c r="G261" s="2">
        <f>Jobs!E87</f>
        <v>1398</v>
      </c>
      <c r="H261" s="2">
        <f>Jobs!F87</f>
        <v>1421</v>
      </c>
      <c r="I261" s="2">
        <f>Jobs!G87</f>
        <v>1447</v>
      </c>
      <c r="J261" s="2">
        <f>Jobs!H87</f>
        <v>1479</v>
      </c>
    </row>
    <row r="262" spans="1:10" x14ac:dyDescent="0.3">
      <c r="A262" t="s">
        <v>20</v>
      </c>
      <c r="B262" t="s">
        <v>3</v>
      </c>
      <c r="C262" t="s">
        <v>8</v>
      </c>
      <c r="D262" s="2">
        <f>Jobs!B88</f>
        <v>87361</v>
      </c>
      <c r="E262" s="2">
        <f>Jobs!C88</f>
        <v>90031</v>
      </c>
      <c r="F262" s="2">
        <f>Jobs!D88</f>
        <v>90332</v>
      </c>
      <c r="G262" s="2">
        <f>Jobs!E88</f>
        <v>97399</v>
      </c>
      <c r="H262" s="2">
        <f>Jobs!F88</f>
        <v>101401</v>
      </c>
      <c r="I262" s="2">
        <f>Jobs!G88</f>
        <v>104823</v>
      </c>
      <c r="J262" s="2">
        <f>Jobs!H88</f>
        <v>107779</v>
      </c>
    </row>
    <row r="263" spans="1:10" x14ac:dyDescent="0.3">
      <c r="A263" t="s">
        <v>45</v>
      </c>
      <c r="B263" t="s">
        <v>3</v>
      </c>
      <c r="C263" t="s">
        <v>8</v>
      </c>
      <c r="D263" s="2">
        <f>Jobs!B89</f>
        <v>1289</v>
      </c>
      <c r="E263" s="2">
        <f>Jobs!C89</f>
        <v>1251</v>
      </c>
      <c r="F263" s="2">
        <f>Jobs!D89</f>
        <v>1247</v>
      </c>
      <c r="G263" s="2">
        <f>Jobs!E89</f>
        <v>1200</v>
      </c>
      <c r="H263" s="2">
        <f>Jobs!F89</f>
        <v>1191</v>
      </c>
      <c r="I263" s="2">
        <f>Jobs!G89</f>
        <v>1189</v>
      </c>
      <c r="J263" s="2">
        <f>Jobs!H89</f>
        <v>1185</v>
      </c>
    </row>
    <row r="264" spans="1:10" x14ac:dyDescent="0.3">
      <c r="A264" t="s">
        <v>46</v>
      </c>
      <c r="B264" t="s">
        <v>3</v>
      </c>
      <c r="C264" t="s">
        <v>8</v>
      </c>
      <c r="D264" s="2">
        <f>Jobs!B90</f>
        <v>2394</v>
      </c>
      <c r="E264" s="2">
        <f>Jobs!C90</f>
        <v>2374</v>
      </c>
      <c r="F264" s="2">
        <f>Jobs!D90</f>
        <v>2373</v>
      </c>
      <c r="G264" s="2">
        <f>Jobs!E90</f>
        <v>2410</v>
      </c>
      <c r="H264" s="2">
        <f>Jobs!F90</f>
        <v>2464</v>
      </c>
      <c r="I264" s="2">
        <f>Jobs!G90</f>
        <v>2525</v>
      </c>
      <c r="J264" s="2">
        <f>Jobs!H90</f>
        <v>2580</v>
      </c>
    </row>
    <row r="265" spans="1:10" x14ac:dyDescent="0.3">
      <c r="A265" t="s">
        <v>21</v>
      </c>
      <c r="B265" t="s">
        <v>3</v>
      </c>
      <c r="C265" t="s">
        <v>8</v>
      </c>
      <c r="D265" s="2">
        <f>Jobs!B91</f>
        <v>9341</v>
      </c>
      <c r="E265" s="2">
        <f>Jobs!C91</f>
        <v>9752</v>
      </c>
      <c r="F265" s="2">
        <f>Jobs!D91</f>
        <v>9867</v>
      </c>
      <c r="G265" s="2">
        <f>Jobs!E91</f>
        <v>10905</v>
      </c>
      <c r="H265" s="2">
        <f>Jobs!F91</f>
        <v>11447</v>
      </c>
      <c r="I265" s="2">
        <f>Jobs!G91</f>
        <v>11861</v>
      </c>
      <c r="J265" s="2">
        <f>Jobs!H91</f>
        <v>12225</v>
      </c>
    </row>
    <row r="266" spans="1:10" x14ac:dyDescent="0.3">
      <c r="A266" t="s">
        <v>47</v>
      </c>
      <c r="B266" t="s">
        <v>3</v>
      </c>
      <c r="C266" t="s">
        <v>8</v>
      </c>
      <c r="D266" s="2">
        <f>Jobs!B92</f>
        <v>2383</v>
      </c>
      <c r="E266" s="2">
        <f>Jobs!C92</f>
        <v>2340</v>
      </c>
      <c r="F266" s="2">
        <f>Jobs!D92</f>
        <v>2338</v>
      </c>
      <c r="G266" s="2">
        <f>Jobs!E92</f>
        <v>2325</v>
      </c>
      <c r="H266" s="2">
        <f>Jobs!F92</f>
        <v>2347</v>
      </c>
      <c r="I266" s="2">
        <f>Jobs!G92</f>
        <v>2388</v>
      </c>
      <c r="J266" s="2">
        <f>Jobs!H92</f>
        <v>2424</v>
      </c>
    </row>
    <row r="267" spans="1:10" x14ac:dyDescent="0.3">
      <c r="A267" t="s">
        <v>22</v>
      </c>
      <c r="B267" t="s">
        <v>3</v>
      </c>
      <c r="C267" t="s">
        <v>8</v>
      </c>
      <c r="D267" s="2">
        <f>Jobs!B93</f>
        <v>1644</v>
      </c>
      <c r="E267" s="2">
        <f>Jobs!C93</f>
        <v>1716</v>
      </c>
      <c r="F267" s="2">
        <f>Jobs!D93</f>
        <v>1726</v>
      </c>
      <c r="G267" s="2">
        <f>Jobs!E93</f>
        <v>1855</v>
      </c>
      <c r="H267" s="2">
        <f>Jobs!F93</f>
        <v>1937</v>
      </c>
      <c r="I267" s="2">
        <f>Jobs!G93</f>
        <v>2017</v>
      </c>
      <c r="J267" s="2">
        <f>Jobs!H93</f>
        <v>2098</v>
      </c>
    </row>
    <row r="268" spans="1:10" x14ac:dyDescent="0.3">
      <c r="A268" t="s">
        <v>48</v>
      </c>
      <c r="B268" t="s">
        <v>3</v>
      </c>
      <c r="C268" t="s">
        <v>8</v>
      </c>
      <c r="D268" s="2">
        <f>Jobs!B94</f>
        <v>2573</v>
      </c>
      <c r="E268" s="2">
        <f>Jobs!C94</f>
        <v>2500</v>
      </c>
      <c r="F268" s="2">
        <f>Jobs!D94</f>
        <v>2498</v>
      </c>
      <c r="G268" s="2">
        <f>Jobs!E94</f>
        <v>2510</v>
      </c>
      <c r="H268" s="2">
        <f>Jobs!F94</f>
        <v>2537</v>
      </c>
      <c r="I268" s="2">
        <f>Jobs!G94</f>
        <v>2537</v>
      </c>
      <c r="J268" s="2">
        <f>Jobs!H94</f>
        <v>2523</v>
      </c>
    </row>
    <row r="269" spans="1:10" x14ac:dyDescent="0.3">
      <c r="A269" t="s">
        <v>49</v>
      </c>
      <c r="B269" t="s">
        <v>3</v>
      </c>
      <c r="C269" t="s">
        <v>8</v>
      </c>
      <c r="D269" s="2">
        <f>Jobs!B95</f>
        <v>1009</v>
      </c>
      <c r="E269" s="2">
        <f>Jobs!C95</f>
        <v>1017</v>
      </c>
      <c r="F269" s="2">
        <f>Jobs!D95</f>
        <v>1018</v>
      </c>
      <c r="G269" s="2">
        <f>Jobs!E95</f>
        <v>1046</v>
      </c>
      <c r="H269" s="2">
        <f>Jobs!F95</f>
        <v>1073</v>
      </c>
      <c r="I269" s="2">
        <f>Jobs!G95</f>
        <v>1104</v>
      </c>
      <c r="J269" s="2">
        <f>Jobs!H95</f>
        <v>1139</v>
      </c>
    </row>
    <row r="270" spans="1:10" x14ac:dyDescent="0.3">
      <c r="A270" t="s">
        <v>50</v>
      </c>
      <c r="B270" t="s">
        <v>3</v>
      </c>
      <c r="C270" t="s">
        <v>8</v>
      </c>
      <c r="D270" s="2">
        <f>Jobs!B96</f>
        <v>879</v>
      </c>
      <c r="E270" s="2">
        <f>Jobs!C96</f>
        <v>884</v>
      </c>
      <c r="F270" s="2">
        <f>Jobs!D96</f>
        <v>883</v>
      </c>
      <c r="G270" s="2">
        <f>Jobs!E96</f>
        <v>886</v>
      </c>
      <c r="H270" s="2">
        <f>Jobs!F96</f>
        <v>897</v>
      </c>
      <c r="I270" s="2">
        <f>Jobs!G96</f>
        <v>911</v>
      </c>
      <c r="J270" s="2">
        <f>Jobs!H96</f>
        <v>927</v>
      </c>
    </row>
    <row r="271" spans="1:10" x14ac:dyDescent="0.3">
      <c r="A271" t="s">
        <v>23</v>
      </c>
      <c r="B271" t="s">
        <v>3</v>
      </c>
      <c r="C271" t="s">
        <v>8</v>
      </c>
      <c r="D271" s="2">
        <f>Jobs!B97</f>
        <v>1500</v>
      </c>
      <c r="E271" s="2">
        <f>Jobs!C97</f>
        <v>1577</v>
      </c>
      <c r="F271" s="2">
        <f>Jobs!D97</f>
        <v>1587</v>
      </c>
      <c r="G271" s="2">
        <f>Jobs!E97</f>
        <v>1748</v>
      </c>
      <c r="H271" s="2">
        <f>Jobs!F97</f>
        <v>1844</v>
      </c>
      <c r="I271" s="2">
        <f>Jobs!G97</f>
        <v>1932</v>
      </c>
      <c r="J271" s="2">
        <f>Jobs!H97</f>
        <v>2012</v>
      </c>
    </row>
    <row r="272" spans="1:10" x14ac:dyDescent="0.3">
      <c r="A272" t="s">
        <v>51</v>
      </c>
      <c r="B272" t="s">
        <v>3</v>
      </c>
      <c r="C272" t="s">
        <v>8</v>
      </c>
      <c r="D272" s="2">
        <f>Jobs!B98</f>
        <v>3033</v>
      </c>
      <c r="E272" s="2">
        <f>Jobs!C98</f>
        <v>2958</v>
      </c>
      <c r="F272" s="2">
        <f>Jobs!D98</f>
        <v>2953</v>
      </c>
      <c r="G272" s="2">
        <f>Jobs!E98</f>
        <v>2886</v>
      </c>
      <c r="H272" s="2">
        <f>Jobs!F98</f>
        <v>2883</v>
      </c>
      <c r="I272" s="2">
        <f>Jobs!G98</f>
        <v>2882</v>
      </c>
      <c r="J272" s="2">
        <f>Jobs!H98</f>
        <v>2880</v>
      </c>
    </row>
    <row r="273" spans="1:10" x14ac:dyDescent="0.3">
      <c r="A273" t="s">
        <v>24</v>
      </c>
      <c r="B273" t="s">
        <v>3</v>
      </c>
      <c r="C273" t="s">
        <v>8</v>
      </c>
      <c r="D273" s="2">
        <f>Jobs!B99</f>
        <v>3483</v>
      </c>
      <c r="E273" s="2">
        <f>Jobs!C99</f>
        <v>3565</v>
      </c>
      <c r="F273" s="2">
        <f>Jobs!D99</f>
        <v>3584</v>
      </c>
      <c r="G273" s="2">
        <f>Jobs!E99</f>
        <v>4090</v>
      </c>
      <c r="H273" s="2">
        <f>Jobs!F99</f>
        <v>4429</v>
      </c>
      <c r="I273" s="2">
        <f>Jobs!G99</f>
        <v>4800</v>
      </c>
      <c r="J273" s="2">
        <f>Jobs!H99</f>
        <v>5164</v>
      </c>
    </row>
    <row r="274" spans="1:10" x14ac:dyDescent="0.3">
      <c r="A274" t="s">
        <v>53</v>
      </c>
      <c r="B274" t="s">
        <v>3</v>
      </c>
      <c r="C274" t="s">
        <v>9</v>
      </c>
      <c r="D274" s="2">
        <f>SUM(D276:D290)</f>
        <v>1264858</v>
      </c>
      <c r="E274" s="2">
        <f>SUM(E276:E290)</f>
        <v>1318618</v>
      </c>
      <c r="F274" s="2">
        <f t="shared" ref="F274:J274" si="23">SUM(F276:F290)</f>
        <v>1363930</v>
      </c>
      <c r="G274" s="2">
        <f t="shared" si="23"/>
        <v>1442903</v>
      </c>
      <c r="H274" s="2">
        <f t="shared" si="23"/>
        <v>1508418</v>
      </c>
      <c r="I274" s="2">
        <f t="shared" si="23"/>
        <v>1567572</v>
      </c>
      <c r="J274" s="2">
        <f t="shared" si="23"/>
        <v>1622141</v>
      </c>
    </row>
    <row r="275" spans="1:10" x14ac:dyDescent="0.3">
      <c r="A275" t="s">
        <v>97</v>
      </c>
      <c r="B275" t="s">
        <v>3</v>
      </c>
      <c r="C275" t="s">
        <v>9</v>
      </c>
      <c r="D275" s="2">
        <f t="shared" ref="D275:J275" si="24">SUM(D276,D277,D279,D281:D282,D284:D286,D288,D290)</f>
        <v>1184538</v>
      </c>
      <c r="E275" s="2">
        <f t="shared" si="24"/>
        <v>1239453</v>
      </c>
      <c r="F275" s="2">
        <f t="shared" si="24"/>
        <v>1285395</v>
      </c>
      <c r="G275" s="2">
        <f t="shared" si="24"/>
        <v>1364475</v>
      </c>
      <c r="H275" s="2">
        <f t="shared" si="24"/>
        <v>1429555</v>
      </c>
      <c r="I275" s="2">
        <f t="shared" si="24"/>
        <v>1488005</v>
      </c>
      <c r="J275" s="2">
        <f t="shared" si="24"/>
        <v>1541875</v>
      </c>
    </row>
    <row r="276" spans="1:10" x14ac:dyDescent="0.3">
      <c r="A276" t="s">
        <v>18</v>
      </c>
      <c r="B276" t="s">
        <v>3</v>
      </c>
      <c r="C276" t="s">
        <v>9</v>
      </c>
      <c r="D276" s="2">
        <f>Jobs!B5</f>
        <v>106696</v>
      </c>
      <c r="E276" s="2">
        <f>Jobs!C5</f>
        <v>121218</v>
      </c>
      <c r="F276" s="2">
        <f>Jobs!D5</f>
        <v>132462</v>
      </c>
      <c r="G276" s="2">
        <f>Jobs!E5</f>
        <v>148477</v>
      </c>
      <c r="H276" s="2">
        <f>Jobs!F5</f>
        <v>161827</v>
      </c>
      <c r="I276" s="2">
        <f>Jobs!G5</f>
        <v>174856</v>
      </c>
      <c r="J276" s="2">
        <f>Jobs!H5</f>
        <v>188531</v>
      </c>
    </row>
    <row r="277" spans="1:10" x14ac:dyDescent="0.3">
      <c r="A277" t="s">
        <v>19</v>
      </c>
      <c r="B277" t="s">
        <v>3</v>
      </c>
      <c r="C277" t="s">
        <v>9</v>
      </c>
      <c r="D277" s="2">
        <f>Jobs!B6</f>
        <v>51509</v>
      </c>
      <c r="E277" s="2">
        <f>Jobs!C6</f>
        <v>53452</v>
      </c>
      <c r="F277" s="2">
        <f>Jobs!D6</f>
        <v>55158</v>
      </c>
      <c r="G277" s="2">
        <f>Jobs!E6</f>
        <v>58409</v>
      </c>
      <c r="H277" s="2">
        <f>Jobs!F6</f>
        <v>61560</v>
      </c>
      <c r="I277" s="2">
        <f>Jobs!G6</f>
        <v>64759</v>
      </c>
      <c r="J277" s="2">
        <f>Jobs!H6</f>
        <v>67829</v>
      </c>
    </row>
    <row r="278" spans="1:10" x14ac:dyDescent="0.3">
      <c r="A278" t="s">
        <v>44</v>
      </c>
      <c r="B278" t="s">
        <v>3</v>
      </c>
      <c r="C278" t="s">
        <v>9</v>
      </c>
      <c r="D278" s="2">
        <f>Jobs!B7</f>
        <v>12848</v>
      </c>
      <c r="E278" s="2">
        <f>Jobs!C7</f>
        <v>13011</v>
      </c>
      <c r="F278" s="2">
        <f>Jobs!D7</f>
        <v>13225</v>
      </c>
      <c r="G278" s="2">
        <f>Jobs!E7</f>
        <v>13448</v>
      </c>
      <c r="H278" s="2">
        <f>Jobs!F7</f>
        <v>13657</v>
      </c>
      <c r="I278" s="2">
        <f>Jobs!G7</f>
        <v>13916</v>
      </c>
      <c r="J278" s="2">
        <f>Jobs!H7</f>
        <v>14219</v>
      </c>
    </row>
    <row r="279" spans="1:10" x14ac:dyDescent="0.3">
      <c r="A279" t="s">
        <v>20</v>
      </c>
      <c r="B279" t="s">
        <v>3</v>
      </c>
      <c r="C279" t="s">
        <v>9</v>
      </c>
      <c r="D279" s="2">
        <f>Jobs!B8</f>
        <v>824085</v>
      </c>
      <c r="E279" s="2">
        <f>Jobs!C8</f>
        <v>849281</v>
      </c>
      <c r="F279" s="2">
        <f>Jobs!D8</f>
        <v>873481</v>
      </c>
      <c r="G279" s="2">
        <f>Jobs!E8</f>
        <v>918793</v>
      </c>
      <c r="H279" s="2">
        <f>Jobs!F8</f>
        <v>956545</v>
      </c>
      <c r="I279" s="2">
        <f>Jobs!G8</f>
        <v>988822</v>
      </c>
      <c r="J279" s="2">
        <f>Jobs!H8</f>
        <v>1016705</v>
      </c>
    </row>
    <row r="280" spans="1:10" x14ac:dyDescent="0.3">
      <c r="A280" t="s">
        <v>45</v>
      </c>
      <c r="B280" t="s">
        <v>3</v>
      </c>
      <c r="C280" t="s">
        <v>9</v>
      </c>
      <c r="D280" s="2">
        <f>Jobs!B9</f>
        <v>7768</v>
      </c>
      <c r="E280" s="2">
        <f>Jobs!C9</f>
        <v>7544</v>
      </c>
      <c r="F280" s="2">
        <f>Jobs!D9</f>
        <v>7360</v>
      </c>
      <c r="G280" s="2">
        <f>Jobs!E9</f>
        <v>7233</v>
      </c>
      <c r="H280" s="2">
        <f>Jobs!F9</f>
        <v>7182</v>
      </c>
      <c r="I280" s="2">
        <f>Jobs!G9</f>
        <v>7171</v>
      </c>
      <c r="J280" s="2">
        <f>Jobs!H9</f>
        <v>7139</v>
      </c>
    </row>
    <row r="281" spans="1:10" x14ac:dyDescent="0.3">
      <c r="A281" t="s">
        <v>46</v>
      </c>
      <c r="B281" t="s">
        <v>3</v>
      </c>
      <c r="C281" t="s">
        <v>9</v>
      </c>
      <c r="D281" s="2">
        <f>Jobs!B10</f>
        <v>23528</v>
      </c>
      <c r="E281" s="2">
        <f>Jobs!C10</f>
        <v>23348</v>
      </c>
      <c r="F281" s="2">
        <f>Jobs!D10</f>
        <v>23291</v>
      </c>
      <c r="G281" s="2">
        <f>Jobs!E10</f>
        <v>23697</v>
      </c>
      <c r="H281" s="2">
        <f>Jobs!F10</f>
        <v>24218</v>
      </c>
      <c r="I281" s="2">
        <f>Jobs!G10</f>
        <v>24824</v>
      </c>
      <c r="J281" s="2">
        <f>Jobs!H10</f>
        <v>25366</v>
      </c>
    </row>
    <row r="282" spans="1:10" x14ac:dyDescent="0.3">
      <c r="A282" t="s">
        <v>21</v>
      </c>
      <c r="B282" t="s">
        <v>3</v>
      </c>
      <c r="C282" t="s">
        <v>9</v>
      </c>
      <c r="D282" s="2">
        <f>Jobs!B11</f>
        <v>70505</v>
      </c>
      <c r="E282" s="2">
        <f>Jobs!C11</f>
        <v>82013</v>
      </c>
      <c r="F282" s="2">
        <f>Jobs!D11</f>
        <v>87277</v>
      </c>
      <c r="G282" s="2">
        <f>Jobs!E11</f>
        <v>95383</v>
      </c>
      <c r="H282" s="2">
        <f>Jobs!F11</f>
        <v>99471</v>
      </c>
      <c r="I282" s="2">
        <f>Jobs!G11</f>
        <v>102599</v>
      </c>
      <c r="J282" s="2">
        <f>Jobs!H11</f>
        <v>105352</v>
      </c>
    </row>
    <row r="283" spans="1:10" x14ac:dyDescent="0.3">
      <c r="A283" t="s">
        <v>47</v>
      </c>
      <c r="B283" t="s">
        <v>3</v>
      </c>
      <c r="C283" t="s">
        <v>9</v>
      </c>
      <c r="D283" s="2">
        <f>Jobs!B12</f>
        <v>21357</v>
      </c>
      <c r="E283" s="2">
        <f>Jobs!C12</f>
        <v>20975</v>
      </c>
      <c r="F283" s="2">
        <f>Jobs!D12</f>
        <v>20833</v>
      </c>
      <c r="G283" s="2">
        <f>Jobs!E12</f>
        <v>20845</v>
      </c>
      <c r="H283" s="2">
        <f>Jobs!F12</f>
        <v>21051</v>
      </c>
      <c r="I283" s="2">
        <f>Jobs!G12</f>
        <v>21407</v>
      </c>
      <c r="J283" s="2">
        <f>Jobs!H12</f>
        <v>21736</v>
      </c>
    </row>
    <row r="284" spans="1:10" x14ac:dyDescent="0.3">
      <c r="A284" t="s">
        <v>22</v>
      </c>
      <c r="B284" t="s">
        <v>3</v>
      </c>
      <c r="C284" t="s">
        <v>9</v>
      </c>
      <c r="D284" s="2">
        <f>Jobs!B13</f>
        <v>19474</v>
      </c>
      <c r="E284" s="2">
        <f>Jobs!C13</f>
        <v>20333</v>
      </c>
      <c r="F284" s="2">
        <f>Jobs!D13</f>
        <v>20996</v>
      </c>
      <c r="G284" s="2">
        <f>Jobs!E13</f>
        <v>21976</v>
      </c>
      <c r="H284" s="2">
        <f>Jobs!F13</f>
        <v>22952</v>
      </c>
      <c r="I284" s="2">
        <f>Jobs!G13</f>
        <v>23895</v>
      </c>
      <c r="J284" s="2">
        <f>Jobs!H13</f>
        <v>24862</v>
      </c>
    </row>
    <row r="285" spans="1:10" x14ac:dyDescent="0.3">
      <c r="A285" t="s">
        <v>48</v>
      </c>
      <c r="B285" t="s">
        <v>3</v>
      </c>
      <c r="C285" t="s">
        <v>9</v>
      </c>
      <c r="D285" s="2">
        <f>Jobs!B14</f>
        <v>26815</v>
      </c>
      <c r="E285" s="2">
        <f>Jobs!C14</f>
        <v>26071</v>
      </c>
      <c r="F285" s="2">
        <f>Jobs!D14</f>
        <v>25845</v>
      </c>
      <c r="G285" s="2">
        <f>Jobs!E14</f>
        <v>26169</v>
      </c>
      <c r="H285" s="2">
        <f>Jobs!F14</f>
        <v>26446</v>
      </c>
      <c r="I285" s="2">
        <f>Jobs!G14</f>
        <v>26446</v>
      </c>
      <c r="J285" s="2">
        <f>Jobs!H14</f>
        <v>26287</v>
      </c>
    </row>
    <row r="286" spans="1:10" x14ac:dyDescent="0.3">
      <c r="A286" t="s">
        <v>49</v>
      </c>
      <c r="B286" t="s">
        <v>3</v>
      </c>
      <c r="C286" t="s">
        <v>9</v>
      </c>
      <c r="D286" s="2">
        <f>Jobs!B15</f>
        <v>7488</v>
      </c>
      <c r="E286" s="2">
        <f>Jobs!C15</f>
        <v>7545</v>
      </c>
      <c r="F286" s="2">
        <f>Jobs!D15</f>
        <v>7576</v>
      </c>
      <c r="G286" s="2">
        <f>Jobs!E15</f>
        <v>7760</v>
      </c>
      <c r="H286" s="2">
        <f>Jobs!F15</f>
        <v>7965</v>
      </c>
      <c r="I286" s="2">
        <f>Jobs!G15</f>
        <v>8195</v>
      </c>
      <c r="J286" s="2">
        <f>Jobs!H15</f>
        <v>8459</v>
      </c>
    </row>
    <row r="287" spans="1:10" x14ac:dyDescent="0.3">
      <c r="A287" t="s">
        <v>50</v>
      </c>
      <c r="B287" t="s">
        <v>3</v>
      </c>
      <c r="C287" t="s">
        <v>9</v>
      </c>
      <c r="D287" s="2">
        <f>Jobs!B16</f>
        <v>7150</v>
      </c>
      <c r="E287" s="2">
        <f>Jobs!C16</f>
        <v>7200</v>
      </c>
      <c r="F287" s="2">
        <f>Jobs!D16</f>
        <v>7162</v>
      </c>
      <c r="G287" s="2">
        <f>Jobs!E16</f>
        <v>7214</v>
      </c>
      <c r="H287" s="2">
        <f>Jobs!F16</f>
        <v>7306</v>
      </c>
      <c r="I287" s="2">
        <f>Jobs!G16</f>
        <v>7423</v>
      </c>
      <c r="J287" s="2">
        <f>Jobs!H16</f>
        <v>7550</v>
      </c>
    </row>
    <row r="288" spans="1:10" x14ac:dyDescent="0.3">
      <c r="A288" t="s">
        <v>23</v>
      </c>
      <c r="B288" t="s">
        <v>3</v>
      </c>
      <c r="C288" t="s">
        <v>9</v>
      </c>
      <c r="D288" s="2">
        <f>Jobs!B17</f>
        <v>15997</v>
      </c>
      <c r="E288" s="2">
        <f>Jobs!C17</f>
        <v>16826</v>
      </c>
      <c r="F288" s="2">
        <f>Jobs!D17</f>
        <v>17584</v>
      </c>
      <c r="G288" s="2">
        <f>Jobs!E17</f>
        <v>18660</v>
      </c>
      <c r="H288" s="2">
        <f>Jobs!F17</f>
        <v>19677</v>
      </c>
      <c r="I288" s="2">
        <f>Jobs!G17</f>
        <v>20616</v>
      </c>
      <c r="J288" s="2">
        <f>Jobs!H17</f>
        <v>21474</v>
      </c>
    </row>
    <row r="289" spans="1:10" x14ac:dyDescent="0.3">
      <c r="A289" t="s">
        <v>51</v>
      </c>
      <c r="B289" t="s">
        <v>3</v>
      </c>
      <c r="C289" t="s">
        <v>9</v>
      </c>
      <c r="D289" s="2">
        <f>Jobs!B18</f>
        <v>31197</v>
      </c>
      <c r="E289" s="2">
        <f>Jobs!C18</f>
        <v>30435</v>
      </c>
      <c r="F289" s="2">
        <f>Jobs!D18</f>
        <v>29955</v>
      </c>
      <c r="G289" s="2">
        <f>Jobs!E18</f>
        <v>29688</v>
      </c>
      <c r="H289" s="2">
        <f>Jobs!F18</f>
        <v>29667</v>
      </c>
      <c r="I289" s="2">
        <f>Jobs!G18</f>
        <v>29650</v>
      </c>
      <c r="J289" s="2">
        <f>Jobs!H18</f>
        <v>29622</v>
      </c>
    </row>
    <row r="290" spans="1:10" x14ac:dyDescent="0.3">
      <c r="A290" t="s">
        <v>24</v>
      </c>
      <c r="B290" t="s">
        <v>3</v>
      </c>
      <c r="C290" t="s">
        <v>9</v>
      </c>
      <c r="D290" s="2">
        <f>Jobs!B19</f>
        <v>38441</v>
      </c>
      <c r="E290" s="2">
        <f>Jobs!C19</f>
        <v>39366</v>
      </c>
      <c r="F290" s="2">
        <f>Jobs!D19</f>
        <v>41725</v>
      </c>
      <c r="G290" s="2">
        <f>Jobs!E19</f>
        <v>45151</v>
      </c>
      <c r="H290" s="2">
        <f>Jobs!F19</f>
        <v>48894</v>
      </c>
      <c r="I290" s="2">
        <f>Jobs!G19</f>
        <v>52993</v>
      </c>
      <c r="J290" s="2">
        <f>Jobs!H19</f>
        <v>57010</v>
      </c>
    </row>
    <row r="291" spans="1:10" x14ac:dyDescent="0.3">
      <c r="A291" t="s">
        <v>53</v>
      </c>
      <c r="B291" t="s">
        <v>65</v>
      </c>
      <c r="C291" t="s">
        <v>17</v>
      </c>
      <c r="D291" s="2">
        <v>1204279.8923639723</v>
      </c>
      <c r="E291" s="2">
        <v>1256416.7634531902</v>
      </c>
      <c r="F291" s="2">
        <v>1304394.8204296334</v>
      </c>
      <c r="G291" s="2">
        <v>1374687.3236368611</v>
      </c>
      <c r="H291" s="2">
        <v>1437348.1974473326</v>
      </c>
      <c r="I291" s="2">
        <v>1494357.2816536203</v>
      </c>
      <c r="J291" s="2">
        <v>1547404.0853264728</v>
      </c>
    </row>
    <row r="292" spans="1:10" x14ac:dyDescent="0.3">
      <c r="A292" t="s">
        <v>97</v>
      </c>
      <c r="B292" t="s">
        <v>65</v>
      </c>
      <c r="C292" t="s">
        <v>17</v>
      </c>
      <c r="D292" s="2">
        <f t="shared" ref="D292:J292" si="25">SUM(D293,D294,D296,D298:D299,D301:D303,D305,D307)</f>
        <v>1112196.2819473301</v>
      </c>
      <c r="E292" s="2">
        <f t="shared" si="25"/>
        <v>1165488.3320054628</v>
      </c>
      <c r="F292" s="2">
        <f t="shared" si="25"/>
        <v>1214279.5988104586</v>
      </c>
      <c r="G292" s="2">
        <f t="shared" si="25"/>
        <v>1284571.0987647467</v>
      </c>
      <c r="H292" s="2">
        <f t="shared" si="25"/>
        <v>1346730.4221360884</v>
      </c>
      <c r="I292" s="2">
        <f t="shared" si="25"/>
        <v>1402922.843086418</v>
      </c>
      <c r="J292" s="2">
        <f t="shared" si="25"/>
        <v>1455159.4933529445</v>
      </c>
    </row>
    <row r="293" spans="1:10" x14ac:dyDescent="0.3">
      <c r="A293" t="s">
        <v>18</v>
      </c>
      <c r="B293" t="s">
        <v>65</v>
      </c>
      <c r="C293" t="s">
        <v>17</v>
      </c>
      <c r="D293" s="2">
        <v>111335.78041435702</v>
      </c>
      <c r="E293" s="2">
        <v>127725.14896018124</v>
      </c>
      <c r="F293" s="2">
        <v>141809.29842934397</v>
      </c>
      <c r="G293" s="2">
        <v>156745.32279098243</v>
      </c>
      <c r="H293" s="2">
        <v>170552.38646401546</v>
      </c>
      <c r="I293" s="2">
        <v>184043.86451323694</v>
      </c>
      <c r="J293" s="2">
        <v>198234.73924956858</v>
      </c>
    </row>
    <row r="294" spans="1:10" x14ac:dyDescent="0.3">
      <c r="A294" t="s">
        <v>19</v>
      </c>
      <c r="B294" t="s">
        <v>65</v>
      </c>
      <c r="C294" t="s">
        <v>17</v>
      </c>
      <c r="D294" s="2">
        <v>76138.360906999034</v>
      </c>
      <c r="E294" s="2">
        <v>79745.120952505589</v>
      </c>
      <c r="F294" s="2">
        <v>82919.697853921229</v>
      </c>
      <c r="G294" s="2">
        <v>87392.127612758617</v>
      </c>
      <c r="H294" s="2">
        <v>92057.483755038455</v>
      </c>
      <c r="I294" s="2">
        <v>96794.147584334336</v>
      </c>
      <c r="J294" s="2">
        <v>101341.57417715498</v>
      </c>
    </row>
    <row r="295" spans="1:10" x14ac:dyDescent="0.3">
      <c r="A295" t="s">
        <v>44</v>
      </c>
      <c r="B295" t="s">
        <v>65</v>
      </c>
      <c r="C295" t="s">
        <v>17</v>
      </c>
      <c r="D295" s="2">
        <v>12436.28031370558</v>
      </c>
      <c r="E295" s="2">
        <v>12591.986770452721</v>
      </c>
      <c r="F295" s="2">
        <v>12823.592837027492</v>
      </c>
      <c r="G295" s="2">
        <v>13019.7820971646</v>
      </c>
      <c r="H295" s="2">
        <v>13220.271482899805</v>
      </c>
      <c r="I295" s="2">
        <v>13471.562565988474</v>
      </c>
      <c r="J295" s="2">
        <v>13763.204890321625</v>
      </c>
    </row>
    <row r="296" spans="1:10" x14ac:dyDescent="0.3">
      <c r="A296" t="s">
        <v>20</v>
      </c>
      <c r="B296" t="s">
        <v>65</v>
      </c>
      <c r="C296" t="s">
        <v>17</v>
      </c>
      <c r="D296" s="2">
        <v>690253.54017102916</v>
      </c>
      <c r="E296" s="2">
        <v>715847.32991193177</v>
      </c>
      <c r="F296" s="2">
        <v>739679.18103110814</v>
      </c>
      <c r="G296" s="2">
        <v>776481.70170126739</v>
      </c>
      <c r="H296" s="2">
        <v>808149.05588250014</v>
      </c>
      <c r="I296" s="2">
        <v>835226.46386402426</v>
      </c>
      <c r="J296" s="2">
        <v>858616.17203593871</v>
      </c>
    </row>
    <row r="297" spans="1:10" x14ac:dyDescent="0.3">
      <c r="A297" t="s">
        <v>45</v>
      </c>
      <c r="B297" t="s">
        <v>65</v>
      </c>
      <c r="C297" t="s">
        <v>17</v>
      </c>
      <c r="D297" s="2">
        <v>12666.417598141934</v>
      </c>
      <c r="E297" s="2">
        <v>12321.791121419543</v>
      </c>
      <c r="F297" s="2">
        <v>11987.448637440692</v>
      </c>
      <c r="G297" s="2">
        <v>11841.091175286179</v>
      </c>
      <c r="H297" s="2">
        <v>11762.68873136991</v>
      </c>
      <c r="I297" s="2">
        <v>11744.891363306799</v>
      </c>
      <c r="J297" s="2">
        <v>11693.64213172241</v>
      </c>
    </row>
    <row r="298" spans="1:10" x14ac:dyDescent="0.3">
      <c r="A298" t="s">
        <v>46</v>
      </c>
      <c r="B298" t="s">
        <v>65</v>
      </c>
      <c r="C298" t="s">
        <v>17</v>
      </c>
      <c r="D298" s="2">
        <v>29137.951748750078</v>
      </c>
      <c r="E298" s="2">
        <v>29069.018050881285</v>
      </c>
      <c r="F298" s="2">
        <v>29055.896409794845</v>
      </c>
      <c r="G298" s="2">
        <v>29602.505481968579</v>
      </c>
      <c r="H298" s="2">
        <v>30222.518410452365</v>
      </c>
      <c r="I298" s="2">
        <v>30952.217838746008</v>
      </c>
      <c r="J298" s="2">
        <v>31611.063039717621</v>
      </c>
    </row>
    <row r="299" spans="1:10" x14ac:dyDescent="0.3">
      <c r="A299" t="s">
        <v>21</v>
      </c>
      <c r="B299" t="s">
        <v>65</v>
      </c>
      <c r="C299" t="s">
        <v>17</v>
      </c>
      <c r="D299" s="2">
        <v>85825.134269092508</v>
      </c>
      <c r="E299" s="2">
        <v>90277.653744404335</v>
      </c>
      <c r="F299" s="2">
        <v>93771.229559812025</v>
      </c>
      <c r="G299" s="2">
        <v>101207.49128483077</v>
      </c>
      <c r="H299" s="2">
        <v>106186.70258054114</v>
      </c>
      <c r="I299" s="2">
        <v>110000.20640946127</v>
      </c>
      <c r="J299" s="2">
        <v>113356.33481840862</v>
      </c>
    </row>
    <row r="300" spans="1:10" x14ac:dyDescent="0.3">
      <c r="A300" t="s">
        <v>47</v>
      </c>
      <c r="B300" t="s">
        <v>65</v>
      </c>
      <c r="C300" t="s">
        <v>17</v>
      </c>
      <c r="D300" s="2">
        <v>21427.946773936193</v>
      </c>
      <c r="E300" s="2">
        <v>21022.82496334978</v>
      </c>
      <c r="F300" s="2">
        <v>20870.230520062727</v>
      </c>
      <c r="G300" s="2">
        <v>20902.017444389065</v>
      </c>
      <c r="H300" s="2">
        <v>21107.711031592204</v>
      </c>
      <c r="I300" s="2">
        <v>21463.637549722556</v>
      </c>
      <c r="J300" s="2">
        <v>21792.494083628051</v>
      </c>
    </row>
    <row r="301" spans="1:10" x14ac:dyDescent="0.3">
      <c r="A301" t="s">
        <v>22</v>
      </c>
      <c r="B301" t="s">
        <v>65</v>
      </c>
      <c r="C301" t="s">
        <v>17</v>
      </c>
      <c r="D301" s="2">
        <v>19186.439102798147</v>
      </c>
      <c r="E301" s="2">
        <v>20163.57879367737</v>
      </c>
      <c r="F301" s="2">
        <v>20905.495353920513</v>
      </c>
      <c r="G301" s="2">
        <v>21854.205462015918</v>
      </c>
      <c r="H301" s="2">
        <v>22838.547464874962</v>
      </c>
      <c r="I301" s="2">
        <v>23792.464023804445</v>
      </c>
      <c r="J301" s="2">
        <v>24771.688076500493</v>
      </c>
    </row>
    <row r="302" spans="1:10" x14ac:dyDescent="0.3">
      <c r="A302" t="s">
        <v>48</v>
      </c>
      <c r="B302" t="s">
        <v>65</v>
      </c>
      <c r="C302" t="s">
        <v>17</v>
      </c>
      <c r="D302" s="2">
        <v>26199.425729390183</v>
      </c>
      <c r="E302" s="2">
        <v>25586.829822131502</v>
      </c>
      <c r="F302" s="2">
        <v>25379.235950962153</v>
      </c>
      <c r="G302" s="2">
        <v>25738.975156604567</v>
      </c>
      <c r="H302" s="2">
        <v>26023.512588321257</v>
      </c>
      <c r="I302" s="2">
        <v>26034.337432885586</v>
      </c>
      <c r="J302" s="2">
        <v>25881.081478315729</v>
      </c>
    </row>
    <row r="303" spans="1:10" x14ac:dyDescent="0.3">
      <c r="A303" t="s">
        <v>49</v>
      </c>
      <c r="B303" t="s">
        <v>65</v>
      </c>
      <c r="C303" t="s">
        <v>17</v>
      </c>
      <c r="D303" s="2">
        <v>17527.984182592922</v>
      </c>
      <c r="E303" s="2">
        <v>18023.537407270564</v>
      </c>
      <c r="F303" s="2">
        <v>18220.411119200431</v>
      </c>
      <c r="G303" s="2">
        <v>18723.234791208819</v>
      </c>
      <c r="H303" s="2">
        <v>19188.119746120767</v>
      </c>
      <c r="I303" s="2">
        <v>19707.524249753395</v>
      </c>
      <c r="J303" s="2">
        <v>20304.659138979339</v>
      </c>
    </row>
    <row r="304" spans="1:10" x14ac:dyDescent="0.3">
      <c r="A304" t="s">
        <v>50</v>
      </c>
      <c r="B304" t="s">
        <v>65</v>
      </c>
      <c r="C304" t="s">
        <v>17</v>
      </c>
      <c r="D304" s="2">
        <v>14842.119673865027</v>
      </c>
      <c r="E304" s="2">
        <v>15069.796314808724</v>
      </c>
      <c r="F304" s="2">
        <v>15026.073358960335</v>
      </c>
      <c r="G304" s="2">
        <v>15163.324024498359</v>
      </c>
      <c r="H304" s="2">
        <v>15360.747861785583</v>
      </c>
      <c r="I304" s="2">
        <v>15608.148766972316</v>
      </c>
      <c r="J304" s="2">
        <v>15877.735552356873</v>
      </c>
    </row>
    <row r="305" spans="1:10" x14ac:dyDescent="0.3">
      <c r="A305" t="s">
        <v>23</v>
      </c>
      <c r="B305" t="s">
        <v>65</v>
      </c>
      <c r="C305" t="s">
        <v>17</v>
      </c>
      <c r="D305" s="2">
        <v>24819.892327712791</v>
      </c>
      <c r="E305" s="2">
        <v>26252.470521294577</v>
      </c>
      <c r="F305" s="2">
        <v>27579.481324333341</v>
      </c>
      <c r="G305" s="2">
        <v>29175.115313987932</v>
      </c>
      <c r="H305" s="2">
        <v>30746.130663432334</v>
      </c>
      <c r="I305" s="2">
        <v>32193.643730303927</v>
      </c>
      <c r="J305" s="2">
        <v>33518.962434637535</v>
      </c>
    </row>
    <row r="306" spans="1:10" x14ac:dyDescent="0.3">
      <c r="A306" t="s">
        <v>51</v>
      </c>
      <c r="B306" t="s">
        <v>65</v>
      </c>
      <c r="C306" t="s">
        <v>17</v>
      </c>
      <c r="D306" s="2">
        <v>30710.846056993552</v>
      </c>
      <c r="E306" s="2">
        <v>29922.03227769661</v>
      </c>
      <c r="F306" s="2">
        <v>29407.876265683353</v>
      </c>
      <c r="G306" s="2">
        <v>29190.01013077614</v>
      </c>
      <c r="H306" s="2">
        <v>29166.356203596701</v>
      </c>
      <c r="I306" s="2">
        <v>29146.198321212112</v>
      </c>
      <c r="J306" s="2">
        <v>29117.515315499484</v>
      </c>
    </row>
    <row r="307" spans="1:10" x14ac:dyDescent="0.3">
      <c r="A307" t="s">
        <v>24</v>
      </c>
      <c r="B307" t="s">
        <v>65</v>
      </c>
      <c r="C307" t="s">
        <v>17</v>
      </c>
      <c r="D307" s="2">
        <v>31771.773094608314</v>
      </c>
      <c r="E307" s="2">
        <v>32797.643841184668</v>
      </c>
      <c r="F307" s="2">
        <v>34959.671778061806</v>
      </c>
      <c r="G307" s="2">
        <v>37650.419169121633</v>
      </c>
      <c r="H307" s="2">
        <v>40765.964580791129</v>
      </c>
      <c r="I307" s="2">
        <v>44177.973439867681</v>
      </c>
      <c r="J307" s="2">
        <v>47523.218903722758</v>
      </c>
    </row>
    <row r="308" spans="1:10" x14ac:dyDescent="0.3">
      <c r="A308" t="s">
        <v>53</v>
      </c>
      <c r="B308" t="s">
        <v>63</v>
      </c>
      <c r="C308" t="s">
        <v>89</v>
      </c>
      <c r="D308" s="2">
        <f>SUM(D310:D324)</f>
        <v>560681.45288235426</v>
      </c>
      <c r="E308" s="2">
        <f t="shared" ref="E308:J308" si="26">SUM(E310:E324)</f>
        <v>586442.06030685722</v>
      </c>
      <c r="F308" s="2">
        <f t="shared" si="26"/>
        <v>608792.7381155683</v>
      </c>
      <c r="G308" s="2">
        <f t="shared" si="26"/>
        <v>636512.94637699949</v>
      </c>
      <c r="H308" s="2">
        <f t="shared" si="26"/>
        <v>660611.88657091977</v>
      </c>
      <c r="I308" s="2">
        <f t="shared" si="26"/>
        <v>678549.33754761936</v>
      </c>
      <c r="J308" s="2">
        <f t="shared" si="26"/>
        <v>698262.24257626012</v>
      </c>
    </row>
    <row r="309" spans="1:10" x14ac:dyDescent="0.3">
      <c r="A309" t="s">
        <v>97</v>
      </c>
      <c r="B309" t="s">
        <v>63</v>
      </c>
      <c r="C309" t="s">
        <v>89</v>
      </c>
      <c r="D309" s="2">
        <f t="shared" ref="D309:J309" si="27">SUM(D310,D311,D313,D315:D316,D318:D320,D322,D324)</f>
        <v>513691.70313267747</v>
      </c>
      <c r="E309" s="2">
        <f t="shared" si="27"/>
        <v>539913.59743574786</v>
      </c>
      <c r="F309" s="2">
        <f t="shared" si="27"/>
        <v>562962.42151527549</v>
      </c>
      <c r="G309" s="2">
        <f t="shared" si="27"/>
        <v>590760.12165699969</v>
      </c>
      <c r="H309" s="2">
        <f t="shared" si="27"/>
        <v>614901.64843221242</v>
      </c>
      <c r="I309" s="2">
        <f t="shared" si="27"/>
        <v>632666.90625480842</v>
      </c>
      <c r="J309" s="2">
        <f t="shared" si="27"/>
        <v>652173.23142724123</v>
      </c>
    </row>
    <row r="310" spans="1:10" x14ac:dyDescent="0.3">
      <c r="A310" t="s">
        <v>18</v>
      </c>
      <c r="B310" t="s">
        <v>63</v>
      </c>
      <c r="C310" t="s">
        <v>89</v>
      </c>
      <c r="D310" s="2">
        <v>53459.583726832556</v>
      </c>
      <c r="E310" s="2">
        <v>57802.211467654452</v>
      </c>
      <c r="F310" s="2">
        <v>62488.39684578064</v>
      </c>
      <c r="G310" s="2">
        <v>68429.155709672006</v>
      </c>
      <c r="H310" s="2">
        <v>74584.973531533033</v>
      </c>
      <c r="I310" s="2">
        <v>80292.681834548057</v>
      </c>
      <c r="J310" s="2">
        <v>85615.512780252422</v>
      </c>
    </row>
    <row r="311" spans="1:10" x14ac:dyDescent="0.3">
      <c r="A311" t="s">
        <v>19</v>
      </c>
      <c r="B311" t="s">
        <v>63</v>
      </c>
      <c r="C311" t="s">
        <v>89</v>
      </c>
      <c r="D311" s="2">
        <v>37338.736271349422</v>
      </c>
      <c r="E311" s="2">
        <v>39868.978376774852</v>
      </c>
      <c r="F311" s="2">
        <v>42433.10632611662</v>
      </c>
      <c r="G311" s="2">
        <v>45292.283996553808</v>
      </c>
      <c r="H311" s="2">
        <v>47626.957096687824</v>
      </c>
      <c r="I311" s="2">
        <v>49682.842434346465</v>
      </c>
      <c r="J311" s="2">
        <v>51679.732864178513</v>
      </c>
    </row>
    <row r="312" spans="1:10" x14ac:dyDescent="0.3">
      <c r="A312" t="s">
        <v>44</v>
      </c>
      <c r="B312" t="s">
        <v>63</v>
      </c>
      <c r="C312" t="s">
        <v>89</v>
      </c>
      <c r="D312" s="2">
        <v>6616.6189019909652</v>
      </c>
      <c r="E312" s="2">
        <v>6617.3337001835789</v>
      </c>
      <c r="F312" s="2">
        <v>6510.3178215743965</v>
      </c>
      <c r="G312" s="2">
        <v>6616.8701074837281</v>
      </c>
      <c r="H312" s="2">
        <v>6856.0953628590414</v>
      </c>
      <c r="I312" s="2">
        <v>7091.3457547894677</v>
      </c>
      <c r="J312" s="2">
        <v>7290.1283260210548</v>
      </c>
    </row>
    <row r="313" spans="1:10" x14ac:dyDescent="0.3">
      <c r="A313" t="s">
        <v>20</v>
      </c>
      <c r="B313" t="s">
        <v>63</v>
      </c>
      <c r="C313" t="s">
        <v>89</v>
      </c>
      <c r="D313" s="2">
        <v>309386.5209525972</v>
      </c>
      <c r="E313" s="2">
        <v>324447.43943582271</v>
      </c>
      <c r="F313" s="2">
        <v>335630.41319176171</v>
      </c>
      <c r="G313" s="2">
        <v>347855.69854237244</v>
      </c>
      <c r="H313" s="2">
        <v>359171.99877919804</v>
      </c>
      <c r="I313" s="2">
        <v>366068.57285475254</v>
      </c>
      <c r="J313" s="2">
        <v>375105.21344734944</v>
      </c>
    </row>
    <row r="314" spans="1:10" x14ac:dyDescent="0.3">
      <c r="A314" t="s">
        <v>45</v>
      </c>
      <c r="B314" t="s">
        <v>63</v>
      </c>
      <c r="C314" t="s">
        <v>89</v>
      </c>
      <c r="D314" s="2">
        <v>6007.1658223048462</v>
      </c>
      <c r="E314" s="2">
        <v>5895.6057442156743</v>
      </c>
      <c r="F314" s="2">
        <v>5871.4570470025728</v>
      </c>
      <c r="G314" s="2">
        <v>5798.3794252161033</v>
      </c>
      <c r="H314" s="2">
        <v>5758.1538971325135</v>
      </c>
      <c r="I314" s="2">
        <v>5674.326772685904</v>
      </c>
      <c r="J314" s="2">
        <v>5610.5867615641164</v>
      </c>
    </row>
    <row r="315" spans="1:10" x14ac:dyDescent="0.3">
      <c r="A315" t="s">
        <v>46</v>
      </c>
      <c r="B315" t="s">
        <v>63</v>
      </c>
      <c r="C315" t="s">
        <v>89</v>
      </c>
      <c r="D315" s="2">
        <v>14854.415922900182</v>
      </c>
      <c r="E315" s="2">
        <v>15203.266136525253</v>
      </c>
      <c r="F315" s="2">
        <v>15471.644154498597</v>
      </c>
      <c r="G315" s="2">
        <v>16053.808243659973</v>
      </c>
      <c r="H315" s="2">
        <v>16481.424573853037</v>
      </c>
      <c r="I315" s="2">
        <v>16768.684097150177</v>
      </c>
      <c r="J315" s="2">
        <v>17042.832716342447</v>
      </c>
    </row>
    <row r="316" spans="1:10" x14ac:dyDescent="0.3">
      <c r="A316" t="s">
        <v>21</v>
      </c>
      <c r="B316" t="s">
        <v>63</v>
      </c>
      <c r="C316" t="s">
        <v>89</v>
      </c>
      <c r="D316" s="2">
        <v>41091.689665076068</v>
      </c>
      <c r="E316" s="2">
        <v>43785.054880020369</v>
      </c>
      <c r="F316" s="2">
        <v>45856.897357579212</v>
      </c>
      <c r="G316" s="2">
        <v>49464.022784910907</v>
      </c>
      <c r="H316" s="2">
        <v>51476.736870259097</v>
      </c>
      <c r="I316" s="2">
        <v>52202.186408954476</v>
      </c>
      <c r="J316" s="2">
        <v>52930.902274758904</v>
      </c>
    </row>
    <row r="317" spans="1:10" x14ac:dyDescent="0.3">
      <c r="A317" t="s">
        <v>47</v>
      </c>
      <c r="B317" t="s">
        <v>63</v>
      </c>
      <c r="C317" t="s">
        <v>89</v>
      </c>
      <c r="D317" s="2">
        <v>10295.89182630824</v>
      </c>
      <c r="E317" s="2">
        <v>10076.05936041166</v>
      </c>
      <c r="F317" s="2">
        <v>9945.7209696540285</v>
      </c>
      <c r="G317" s="2">
        <v>9964.2687036293737</v>
      </c>
      <c r="H317" s="2">
        <v>9955.3452563031678</v>
      </c>
      <c r="I317" s="2">
        <v>9877.5064022475126</v>
      </c>
      <c r="J317" s="2">
        <v>9771.3658346794327</v>
      </c>
    </row>
    <row r="318" spans="1:10" x14ac:dyDescent="0.3">
      <c r="A318" t="s">
        <v>22</v>
      </c>
      <c r="B318" t="s">
        <v>63</v>
      </c>
      <c r="C318" t="s">
        <v>89</v>
      </c>
      <c r="D318" s="2">
        <v>8858.5687716613866</v>
      </c>
      <c r="E318" s="2">
        <v>8998.9675807862277</v>
      </c>
      <c r="F318" s="2">
        <v>9103.5586484847972</v>
      </c>
      <c r="G318" s="2">
        <v>9398.6890117466028</v>
      </c>
      <c r="H318" s="2">
        <v>9510.6772037751962</v>
      </c>
      <c r="I318" s="2">
        <v>9885.7182131393984</v>
      </c>
      <c r="J318" s="2">
        <v>10299.994395554731</v>
      </c>
    </row>
    <row r="319" spans="1:10" x14ac:dyDescent="0.3">
      <c r="A319" t="s">
        <v>48</v>
      </c>
      <c r="B319" t="s">
        <v>63</v>
      </c>
      <c r="C319" t="s">
        <v>89</v>
      </c>
      <c r="D319" s="2">
        <v>13725.130256413764</v>
      </c>
      <c r="E319" s="2">
        <v>13735.254207080172</v>
      </c>
      <c r="F319" s="2">
        <v>13585.834774321616</v>
      </c>
      <c r="G319" s="2">
        <v>13125.756824930993</v>
      </c>
      <c r="H319" s="2">
        <v>12804.025240378467</v>
      </c>
      <c r="I319" s="2">
        <v>12909.087630134394</v>
      </c>
      <c r="J319" s="2">
        <v>13136.203078176775</v>
      </c>
    </row>
    <row r="320" spans="1:10" x14ac:dyDescent="0.3">
      <c r="A320" t="s">
        <v>49</v>
      </c>
      <c r="B320" t="s">
        <v>63</v>
      </c>
      <c r="C320" t="s">
        <v>89</v>
      </c>
      <c r="D320" s="2">
        <v>7661.3220727341277</v>
      </c>
      <c r="E320" s="2">
        <v>7440.8843591855903</v>
      </c>
      <c r="F320" s="2">
        <v>7506.5004466347245</v>
      </c>
      <c r="G320" s="2">
        <v>7842.7035497815959</v>
      </c>
      <c r="H320" s="2">
        <v>7988.7423945505861</v>
      </c>
      <c r="I320" s="2">
        <v>8008.728679254441</v>
      </c>
      <c r="J320" s="2">
        <v>7949.6397024779972</v>
      </c>
    </row>
    <row r="321" spans="1:10" x14ac:dyDescent="0.3">
      <c r="A321" t="s">
        <v>50</v>
      </c>
      <c r="B321" t="s">
        <v>63</v>
      </c>
      <c r="C321" t="s">
        <v>89</v>
      </c>
      <c r="D321" s="2">
        <v>8087.6459112307311</v>
      </c>
      <c r="E321" s="2">
        <v>8338.769247659613</v>
      </c>
      <c r="F321" s="2">
        <v>8345.9653423688615</v>
      </c>
      <c r="G321" s="2">
        <v>8414.617240112555</v>
      </c>
      <c r="H321" s="2">
        <v>8520.4134637264324</v>
      </c>
      <c r="I321" s="2">
        <v>8594.51626035548</v>
      </c>
      <c r="J321" s="2">
        <v>8700.431226387831</v>
      </c>
    </row>
    <row r="322" spans="1:10" x14ac:dyDescent="0.3">
      <c r="A322" t="s">
        <v>23</v>
      </c>
      <c r="B322" t="s">
        <v>63</v>
      </c>
      <c r="C322" t="s">
        <v>89</v>
      </c>
      <c r="D322" s="2">
        <v>12285.485191957145</v>
      </c>
      <c r="E322" s="2">
        <v>12592.193021688647</v>
      </c>
      <c r="F322" s="2">
        <v>12939.834562919956</v>
      </c>
      <c r="G322" s="2">
        <v>13361.403106266223</v>
      </c>
      <c r="H322" s="2">
        <v>13680.212626463008</v>
      </c>
      <c r="I322" s="2">
        <v>14264.295430841039</v>
      </c>
      <c r="J322" s="2">
        <v>14942.179947283839</v>
      </c>
    </row>
    <row r="323" spans="1:10" x14ac:dyDescent="0.3">
      <c r="A323" t="s">
        <v>51</v>
      </c>
      <c r="B323" t="s">
        <v>63</v>
      </c>
      <c r="C323" t="s">
        <v>89</v>
      </c>
      <c r="D323" s="2">
        <v>15982.42728784206</v>
      </c>
      <c r="E323" s="2">
        <v>15600.694818639011</v>
      </c>
      <c r="F323" s="2">
        <v>15156.855419692933</v>
      </c>
      <c r="G323" s="2">
        <v>14958.689243558001</v>
      </c>
      <c r="H323" s="2">
        <v>14620.23015868631</v>
      </c>
      <c r="I323" s="2">
        <v>14644.736102732644</v>
      </c>
      <c r="J323" s="2">
        <v>14716.499000366382</v>
      </c>
    </row>
    <row r="324" spans="1:10" x14ac:dyDescent="0.3">
      <c r="A324" t="s">
        <v>24</v>
      </c>
      <c r="B324" t="s">
        <v>63</v>
      </c>
      <c r="C324" t="s">
        <v>89</v>
      </c>
      <c r="D324" s="2">
        <v>15030.25030115564</v>
      </c>
      <c r="E324" s="2">
        <v>16039.347970209572</v>
      </c>
      <c r="F324" s="2">
        <v>17946.235207177706</v>
      </c>
      <c r="G324" s="2">
        <v>19936.599887105269</v>
      </c>
      <c r="H324" s="2">
        <v>21575.900115514207</v>
      </c>
      <c r="I324" s="2">
        <v>22584.108671687452</v>
      </c>
      <c r="J324" s="2">
        <v>23471.020220866241</v>
      </c>
    </row>
    <row r="325" spans="1:10" x14ac:dyDescent="0.3">
      <c r="A325" t="s">
        <v>53</v>
      </c>
      <c r="B325" t="s">
        <v>63</v>
      </c>
      <c r="C325" t="s">
        <v>90</v>
      </c>
      <c r="D325" s="2">
        <f>SUM(D327:D341)</f>
        <v>1471405.4584483812</v>
      </c>
      <c r="E325" s="2">
        <f t="shared" ref="E325:J325" si="28">SUM(E327:E341)</f>
        <v>1523402.3139113518</v>
      </c>
      <c r="F325" s="2">
        <f t="shared" si="28"/>
        <v>1574059.0123257095</v>
      </c>
      <c r="G325" s="2">
        <f t="shared" si="28"/>
        <v>1662136.4788869068</v>
      </c>
      <c r="H325" s="2">
        <f t="shared" si="28"/>
        <v>1740368.8990540032</v>
      </c>
      <c r="I325" s="2">
        <f t="shared" si="28"/>
        <v>1816086.2987624097</v>
      </c>
      <c r="J325" s="2">
        <f t="shared" si="28"/>
        <v>1881964.3612043406</v>
      </c>
    </row>
    <row r="326" spans="1:10" x14ac:dyDescent="0.3">
      <c r="A326" t="s">
        <v>97</v>
      </c>
      <c r="B326" t="s">
        <v>63</v>
      </c>
      <c r="C326" t="s">
        <v>90</v>
      </c>
      <c r="D326" s="2">
        <f t="shared" ref="D326:J326" si="29">SUM(D327,D328,D330,D332:D333,D335:D337,D339,D341)</f>
        <v>1354054.2263124138</v>
      </c>
      <c r="E326" s="2">
        <f t="shared" si="29"/>
        <v>1408952.1830469139</v>
      </c>
      <c r="F326" s="2">
        <f t="shared" si="29"/>
        <v>1461506.9013136092</v>
      </c>
      <c r="G326" s="2">
        <f t="shared" si="29"/>
        <v>1549670.3615496987</v>
      </c>
      <c r="H326" s="2">
        <f t="shared" si="29"/>
        <v>1626898.3577113121</v>
      </c>
      <c r="I326" s="2">
        <f t="shared" si="29"/>
        <v>1701351.6933077404</v>
      </c>
      <c r="J326" s="2">
        <f t="shared" si="29"/>
        <v>1765802.1448673224</v>
      </c>
    </row>
    <row r="327" spans="1:10" x14ac:dyDescent="0.3">
      <c r="A327" t="s">
        <v>18</v>
      </c>
      <c r="B327" t="s">
        <v>63</v>
      </c>
      <c r="C327" t="s">
        <v>90</v>
      </c>
      <c r="D327" s="2">
        <v>126668.52601590233</v>
      </c>
      <c r="E327" s="2">
        <v>145319.24423133634</v>
      </c>
      <c r="F327" s="2">
        <v>160653.84384566068</v>
      </c>
      <c r="G327" s="2">
        <v>177640.12319771305</v>
      </c>
      <c r="H327" s="2">
        <v>192780.78183376222</v>
      </c>
      <c r="I327" s="2">
        <v>208387.53274779941</v>
      </c>
      <c r="J327" s="2">
        <v>224128.50231069018</v>
      </c>
    </row>
    <row r="328" spans="1:10" x14ac:dyDescent="0.3">
      <c r="A328" t="s">
        <v>19</v>
      </c>
      <c r="B328" t="s">
        <v>63</v>
      </c>
      <c r="C328" t="s">
        <v>90</v>
      </c>
      <c r="D328" s="2">
        <v>93009.150585371244</v>
      </c>
      <c r="E328" s="2">
        <v>97008.335500189089</v>
      </c>
      <c r="F328" s="2">
        <v>100239.14077227309</v>
      </c>
      <c r="G328" s="2">
        <v>105773.37830183574</v>
      </c>
      <c r="H328" s="2">
        <v>111882.18698681684</v>
      </c>
      <c r="I328" s="2">
        <v>118235.30629321747</v>
      </c>
      <c r="J328" s="2">
        <v>124206.67234646523</v>
      </c>
    </row>
    <row r="329" spans="1:10" x14ac:dyDescent="0.3">
      <c r="A329" t="s">
        <v>44</v>
      </c>
      <c r="B329" t="s">
        <v>63</v>
      </c>
      <c r="C329" t="s">
        <v>90</v>
      </c>
      <c r="D329" s="2">
        <v>14679.627677665423</v>
      </c>
      <c r="E329" s="2">
        <v>14695.060927796196</v>
      </c>
      <c r="F329" s="2">
        <v>14967.915069246417</v>
      </c>
      <c r="G329" s="2">
        <v>15299.343119206827</v>
      </c>
      <c r="H329" s="2">
        <v>15600.57881490306</v>
      </c>
      <c r="I329" s="2">
        <v>15984.655285276149</v>
      </c>
      <c r="J329" s="2">
        <v>16395.186875287673</v>
      </c>
    </row>
    <row r="330" spans="1:10" x14ac:dyDescent="0.3">
      <c r="A330" t="s">
        <v>20</v>
      </c>
      <c r="B330" t="s">
        <v>63</v>
      </c>
      <c r="C330" t="s">
        <v>90</v>
      </c>
      <c r="D330" s="2">
        <v>843951.02510575601</v>
      </c>
      <c r="E330" s="2">
        <v>868734.09728373564</v>
      </c>
      <c r="F330" s="2">
        <v>894781.84436772089</v>
      </c>
      <c r="G330" s="2">
        <v>942968.28458394075</v>
      </c>
      <c r="H330" s="2">
        <v>982849.43629214843</v>
      </c>
      <c r="I330" s="2">
        <v>1019973.1046496063</v>
      </c>
      <c r="J330" s="2">
        <v>1048743.24498198</v>
      </c>
    </row>
    <row r="331" spans="1:10" x14ac:dyDescent="0.3">
      <c r="A331" t="s">
        <v>45</v>
      </c>
      <c r="B331" t="s">
        <v>63</v>
      </c>
      <c r="C331" t="s">
        <v>90</v>
      </c>
      <c r="D331" s="2">
        <v>14145.806948650843</v>
      </c>
      <c r="E331" s="2">
        <v>13599.747643817633</v>
      </c>
      <c r="F331" s="2">
        <v>12986.346796202131</v>
      </c>
      <c r="G331" s="2">
        <v>12769.05592717024</v>
      </c>
      <c r="H331" s="2">
        <v>12631.527801949182</v>
      </c>
      <c r="I331" s="2">
        <v>12670.691804210957</v>
      </c>
      <c r="J331" s="2">
        <v>12736.209855250527</v>
      </c>
    </row>
    <row r="332" spans="1:10" x14ac:dyDescent="0.3">
      <c r="A332" t="s">
        <v>46</v>
      </c>
      <c r="B332" t="s">
        <v>63</v>
      </c>
      <c r="C332" t="s">
        <v>90</v>
      </c>
      <c r="D332" s="2">
        <v>33642.314336779753</v>
      </c>
      <c r="E332" s="2">
        <v>33084.544455171825</v>
      </c>
      <c r="F332" s="2">
        <v>32947.024123720752</v>
      </c>
      <c r="G332" s="2">
        <v>33588.691467978351</v>
      </c>
      <c r="H332" s="2">
        <v>34494.498938120814</v>
      </c>
      <c r="I332" s="2">
        <v>35497.843992272275</v>
      </c>
      <c r="J332" s="2">
        <v>36398.448857707903</v>
      </c>
    </row>
    <row r="333" spans="1:10" x14ac:dyDescent="0.3">
      <c r="A333" t="s">
        <v>21</v>
      </c>
      <c r="B333" t="s">
        <v>63</v>
      </c>
      <c r="C333" t="s">
        <v>90</v>
      </c>
      <c r="D333" s="2">
        <v>104397.20986889364</v>
      </c>
      <c r="E333" s="2">
        <v>108968.46297250778</v>
      </c>
      <c r="F333" s="2">
        <v>112430.62358908379</v>
      </c>
      <c r="G333" s="2">
        <v>121499.2943652876</v>
      </c>
      <c r="H333" s="2">
        <v>127971.10695106082</v>
      </c>
      <c r="I333" s="2">
        <v>133449.07246531182</v>
      </c>
      <c r="J333" s="2">
        <v>137874.63781984075</v>
      </c>
    </row>
    <row r="334" spans="1:10" x14ac:dyDescent="0.3">
      <c r="A334" t="s">
        <v>47</v>
      </c>
      <c r="B334" t="s">
        <v>63</v>
      </c>
      <c r="C334" t="s">
        <v>90</v>
      </c>
      <c r="D334" s="2">
        <v>24644.238165308059</v>
      </c>
      <c r="E334" s="2">
        <v>23854.491733831775</v>
      </c>
      <c r="F334" s="2">
        <v>23461.020485443973</v>
      </c>
      <c r="G334" s="2">
        <v>23521.099277703652</v>
      </c>
      <c r="H334" s="2">
        <v>23777.728849059517</v>
      </c>
      <c r="I334" s="2">
        <v>24226.515076389842</v>
      </c>
      <c r="J334" s="2">
        <v>24757.647651174069</v>
      </c>
    </row>
    <row r="335" spans="1:10" x14ac:dyDescent="0.3">
      <c r="A335" t="s">
        <v>22</v>
      </c>
      <c r="B335" t="s">
        <v>63</v>
      </c>
      <c r="C335" t="s">
        <v>90</v>
      </c>
      <c r="D335" s="2">
        <v>25500.531208140688</v>
      </c>
      <c r="E335" s="2">
        <v>26622.860440931669</v>
      </c>
      <c r="F335" s="2">
        <v>27479.178997949472</v>
      </c>
      <c r="G335" s="2">
        <v>28752.469004496848</v>
      </c>
      <c r="H335" s="2">
        <v>30257.324877176972</v>
      </c>
      <c r="I335" s="2">
        <v>31774.778106326507</v>
      </c>
      <c r="J335" s="2">
        <v>33212.833600953512</v>
      </c>
    </row>
    <row r="336" spans="1:10" x14ac:dyDescent="0.3">
      <c r="A336" t="s">
        <v>48</v>
      </c>
      <c r="B336" t="s">
        <v>63</v>
      </c>
      <c r="C336" t="s">
        <v>90</v>
      </c>
      <c r="D336" s="2">
        <v>37112.487022203961</v>
      </c>
      <c r="E336" s="2">
        <v>35839.638704776204</v>
      </c>
      <c r="F336" s="2">
        <v>35177.507007892811</v>
      </c>
      <c r="G336" s="2">
        <v>35756.962090151646</v>
      </c>
      <c r="H336" s="2">
        <v>36420.84514132909</v>
      </c>
      <c r="I336" s="2">
        <v>36727.52146634346</v>
      </c>
      <c r="J336" s="2">
        <v>36724.715217497484</v>
      </c>
    </row>
    <row r="337" spans="1:10" x14ac:dyDescent="0.3">
      <c r="A337" t="s">
        <v>49</v>
      </c>
      <c r="B337" t="s">
        <v>63</v>
      </c>
      <c r="C337" t="s">
        <v>90</v>
      </c>
      <c r="D337" s="2">
        <v>18507.092657152058</v>
      </c>
      <c r="E337" s="2">
        <v>18897.973165368152</v>
      </c>
      <c r="F337" s="2">
        <v>19081.608875306643</v>
      </c>
      <c r="G337" s="2">
        <v>19633.623169395712</v>
      </c>
      <c r="H337" s="2">
        <v>20177.664388449684</v>
      </c>
      <c r="I337" s="2">
        <v>20844.328332197012</v>
      </c>
      <c r="J337" s="2">
        <v>21657.810649045547</v>
      </c>
    </row>
    <row r="338" spans="1:10" x14ac:dyDescent="0.3">
      <c r="A338" t="s">
        <v>50</v>
      </c>
      <c r="B338" t="s">
        <v>63</v>
      </c>
      <c r="C338" t="s">
        <v>90</v>
      </c>
      <c r="D338" s="2">
        <v>18796.122251132932</v>
      </c>
      <c r="E338" s="2">
        <v>18876.442319527931</v>
      </c>
      <c r="F338" s="2">
        <v>18704.19249324215</v>
      </c>
      <c r="G338" s="2">
        <v>18867.553537854961</v>
      </c>
      <c r="H338" s="2">
        <v>19252.468218630245</v>
      </c>
      <c r="I338" s="2">
        <v>19693.724903156111</v>
      </c>
      <c r="J338" s="2">
        <v>20069.935994145213</v>
      </c>
    </row>
    <row r="339" spans="1:10" x14ac:dyDescent="0.3">
      <c r="A339" t="s">
        <v>23</v>
      </c>
      <c r="B339" t="s">
        <v>63</v>
      </c>
      <c r="C339" t="s">
        <v>90</v>
      </c>
      <c r="D339" s="2">
        <v>34127.083732997664</v>
      </c>
      <c r="E339" s="2">
        <v>36087.019469849693</v>
      </c>
      <c r="F339" s="2">
        <v>37873.559998996156</v>
      </c>
      <c r="G339" s="2">
        <v>40041.065411847834</v>
      </c>
      <c r="H339" s="2">
        <v>42386.924474857857</v>
      </c>
      <c r="I339" s="2">
        <v>44520.236139990819</v>
      </c>
      <c r="J339" s="2">
        <v>46676.815128030124</v>
      </c>
    </row>
    <row r="340" spans="1:10" x14ac:dyDescent="0.3">
      <c r="A340" t="s">
        <v>51</v>
      </c>
      <c r="B340" t="s">
        <v>63</v>
      </c>
      <c r="C340" t="s">
        <v>90</v>
      </c>
      <c r="D340" s="2">
        <v>45085.437093210021</v>
      </c>
      <c r="E340" s="2">
        <v>43424.388239464359</v>
      </c>
      <c r="F340" s="2">
        <v>42432.636167965698</v>
      </c>
      <c r="G340" s="2">
        <v>42009.065475272546</v>
      </c>
      <c r="H340" s="2">
        <v>42208.237658149024</v>
      </c>
      <c r="I340" s="2">
        <v>42159.018385636904</v>
      </c>
      <c r="J340" s="2">
        <v>42203.235961160455</v>
      </c>
    </row>
    <row r="341" spans="1:10" x14ac:dyDescent="0.3">
      <c r="A341" t="s">
        <v>24</v>
      </c>
      <c r="B341" t="s">
        <v>63</v>
      </c>
      <c r="C341" t="s">
        <v>90</v>
      </c>
      <c r="D341" s="2">
        <v>37138.805779216229</v>
      </c>
      <c r="E341" s="2">
        <v>38390.006823047195</v>
      </c>
      <c r="F341" s="2">
        <v>40842.569735005018</v>
      </c>
      <c r="G341" s="2">
        <v>44016.469957051275</v>
      </c>
      <c r="H341" s="2">
        <v>47677.587827589668</v>
      </c>
      <c r="I341" s="2">
        <v>51941.969114675332</v>
      </c>
      <c r="J341" s="2">
        <v>56178.463955111933</v>
      </c>
    </row>
    <row r="342" spans="1:10" x14ac:dyDescent="0.3">
      <c r="A342" t="s">
        <v>53</v>
      </c>
      <c r="B342" t="s">
        <v>63</v>
      </c>
      <c r="C342" t="s">
        <v>91</v>
      </c>
      <c r="D342" s="2">
        <f>SUM(D344:D358)</f>
        <v>346533.08866926492</v>
      </c>
      <c r="E342" s="2">
        <f t="shared" ref="E342:J342" si="30">SUM(E344:E358)</f>
        <v>404844.62578179111</v>
      </c>
      <c r="F342" s="2">
        <f t="shared" si="30"/>
        <v>453403.24955872202</v>
      </c>
      <c r="G342" s="2">
        <f t="shared" si="30"/>
        <v>487806.57473609276</v>
      </c>
      <c r="H342" s="2">
        <f t="shared" si="30"/>
        <v>502946.21437507658</v>
      </c>
      <c r="I342" s="2">
        <f t="shared" si="30"/>
        <v>510400.36368997017</v>
      </c>
      <c r="J342" s="2">
        <f t="shared" si="30"/>
        <v>525918.39621939929</v>
      </c>
    </row>
    <row r="343" spans="1:10" x14ac:dyDescent="0.3">
      <c r="A343" t="s">
        <v>97</v>
      </c>
      <c r="B343" t="s">
        <v>63</v>
      </c>
      <c r="C343" t="s">
        <v>91</v>
      </c>
      <c r="D343" s="2">
        <f t="shared" ref="D343:J343" si="31">SUM(D344,D345,D347,D349:D350,D352:D354,D356,D358)</f>
        <v>308505.07055490906</v>
      </c>
      <c r="E343" s="2">
        <f t="shared" si="31"/>
        <v>362175.2195173385</v>
      </c>
      <c r="F343" s="2">
        <f t="shared" si="31"/>
        <v>407263.6771711153</v>
      </c>
      <c r="G343" s="2">
        <f t="shared" si="31"/>
        <v>440268.51679330081</v>
      </c>
      <c r="H343" s="2">
        <f t="shared" si="31"/>
        <v>455554.99385647511</v>
      </c>
      <c r="I343" s="2">
        <f t="shared" si="31"/>
        <v>463835.40043745114</v>
      </c>
      <c r="J343" s="2">
        <f t="shared" si="31"/>
        <v>480375.62370543595</v>
      </c>
    </row>
    <row r="344" spans="1:10" x14ac:dyDescent="0.3">
      <c r="A344" t="s">
        <v>18</v>
      </c>
      <c r="B344" t="s">
        <v>63</v>
      </c>
      <c r="C344" t="s">
        <v>91</v>
      </c>
      <c r="D344" s="2">
        <v>31188.890257265142</v>
      </c>
      <c r="E344" s="2">
        <v>41073.544301009242</v>
      </c>
      <c r="F344" s="2">
        <v>51504.759308558663</v>
      </c>
      <c r="G344" s="2">
        <v>61937.721092614869</v>
      </c>
      <c r="H344" s="2">
        <v>70674.244634704635</v>
      </c>
      <c r="I344" s="2">
        <v>77730.785417652514</v>
      </c>
      <c r="J344" s="2">
        <v>85039.98490905753</v>
      </c>
    </row>
    <row r="345" spans="1:10" x14ac:dyDescent="0.3">
      <c r="A345" t="s">
        <v>19</v>
      </c>
      <c r="B345" t="s">
        <v>63</v>
      </c>
      <c r="C345" t="s">
        <v>91</v>
      </c>
      <c r="D345" s="2">
        <v>25870.113143279337</v>
      </c>
      <c r="E345" s="2">
        <v>29597.686123036088</v>
      </c>
      <c r="F345" s="2">
        <v>33063.752901610227</v>
      </c>
      <c r="G345" s="2">
        <v>35035.337701610464</v>
      </c>
      <c r="H345" s="2">
        <v>35695.855916495333</v>
      </c>
      <c r="I345" s="2">
        <v>35758.85127243607</v>
      </c>
      <c r="J345" s="2">
        <v>36262.594789356197</v>
      </c>
    </row>
    <row r="346" spans="1:10" x14ac:dyDescent="0.3">
      <c r="A346" t="s">
        <v>44</v>
      </c>
      <c r="B346" t="s">
        <v>63</v>
      </c>
      <c r="C346" t="s">
        <v>91</v>
      </c>
      <c r="D346" s="2">
        <v>5025.7534203436089</v>
      </c>
      <c r="E346" s="2">
        <v>5477.6053720202281</v>
      </c>
      <c r="F346" s="2">
        <v>5903.7671091791899</v>
      </c>
      <c r="G346" s="2">
        <v>6088.7867733094508</v>
      </c>
      <c r="H346" s="2">
        <v>6134.3258222378954</v>
      </c>
      <c r="I346" s="2">
        <v>6084.9989599343799</v>
      </c>
      <c r="J346" s="2">
        <v>6045.6847986912835</v>
      </c>
    </row>
    <row r="347" spans="1:10" x14ac:dyDescent="0.3">
      <c r="A347" t="s">
        <v>20</v>
      </c>
      <c r="B347" t="s">
        <v>63</v>
      </c>
      <c r="C347" t="s">
        <v>91</v>
      </c>
      <c r="D347" s="2">
        <v>167453.45394164682</v>
      </c>
      <c r="E347" s="2">
        <v>193910.46328044147</v>
      </c>
      <c r="F347" s="2">
        <v>213628.74244051767</v>
      </c>
      <c r="G347" s="2">
        <v>225956.01687368637</v>
      </c>
      <c r="H347" s="2">
        <v>229450.56492865359</v>
      </c>
      <c r="I347" s="2">
        <v>231103.32249564119</v>
      </c>
      <c r="J347" s="2">
        <v>238966.5415706705</v>
      </c>
    </row>
    <row r="348" spans="1:10" x14ac:dyDescent="0.3">
      <c r="A348" t="s">
        <v>45</v>
      </c>
      <c r="B348" t="s">
        <v>63</v>
      </c>
      <c r="C348" t="s">
        <v>91</v>
      </c>
      <c r="D348" s="2">
        <v>5268.0272290443136</v>
      </c>
      <c r="E348" s="2">
        <v>5840.6466119667039</v>
      </c>
      <c r="F348" s="2">
        <v>6275.1961567952985</v>
      </c>
      <c r="G348" s="2">
        <v>6432.5646476136571</v>
      </c>
      <c r="H348" s="2">
        <v>6409.3183009183094</v>
      </c>
      <c r="I348" s="2">
        <v>6215.9814231031341</v>
      </c>
      <c r="J348" s="2">
        <v>5977.2033831853487</v>
      </c>
    </row>
    <row r="349" spans="1:10" x14ac:dyDescent="0.3">
      <c r="A349" t="s">
        <v>46</v>
      </c>
      <c r="B349" t="s">
        <v>63</v>
      </c>
      <c r="C349" t="s">
        <v>91</v>
      </c>
      <c r="D349" s="2">
        <v>11518.269740320073</v>
      </c>
      <c r="E349" s="2">
        <v>13161.189408302933</v>
      </c>
      <c r="F349" s="2">
        <v>14210.331721780642</v>
      </c>
      <c r="G349" s="2">
        <v>14657.500288361678</v>
      </c>
      <c r="H349" s="2">
        <v>14434.076488026163</v>
      </c>
      <c r="I349" s="2">
        <v>13974.471910577578</v>
      </c>
      <c r="J349" s="2">
        <v>13630.718425949646</v>
      </c>
    </row>
    <row r="350" spans="1:10" x14ac:dyDescent="0.3">
      <c r="A350" t="s">
        <v>21</v>
      </c>
      <c r="B350" t="s">
        <v>63</v>
      </c>
      <c r="C350" t="s">
        <v>91</v>
      </c>
      <c r="D350" s="2">
        <v>30394.100466030319</v>
      </c>
      <c r="E350" s="2">
        <v>35524.48214747187</v>
      </c>
      <c r="F350" s="2">
        <v>39785.479053336938</v>
      </c>
      <c r="G350" s="2">
        <v>43360.682849801524</v>
      </c>
      <c r="H350" s="2">
        <v>43747.156178680074</v>
      </c>
      <c r="I350" s="2">
        <v>42727.741125733693</v>
      </c>
      <c r="J350" s="2">
        <v>42758.459905400305</v>
      </c>
    </row>
    <row r="351" spans="1:10" x14ac:dyDescent="0.3">
      <c r="A351" t="s">
        <v>47</v>
      </c>
      <c r="B351" t="s">
        <v>63</v>
      </c>
      <c r="C351" t="s">
        <v>91</v>
      </c>
      <c r="D351" s="2">
        <v>8516.8700083837102</v>
      </c>
      <c r="E351" s="2">
        <v>9472.448905756557</v>
      </c>
      <c r="F351" s="2">
        <v>10309.258544901997</v>
      </c>
      <c r="G351" s="2">
        <v>10586.632018666973</v>
      </c>
      <c r="H351" s="2">
        <v>10633.925894637325</v>
      </c>
      <c r="I351" s="2">
        <v>10539.978521362662</v>
      </c>
      <c r="J351" s="2">
        <v>10391.986514146503</v>
      </c>
    </row>
    <row r="352" spans="1:10" x14ac:dyDescent="0.3">
      <c r="A352" t="s">
        <v>22</v>
      </c>
      <c r="B352" t="s">
        <v>63</v>
      </c>
      <c r="C352" t="s">
        <v>91</v>
      </c>
      <c r="D352" s="2">
        <v>6835.9000201979416</v>
      </c>
      <c r="E352" s="2">
        <v>8236.1719782820874</v>
      </c>
      <c r="F352" s="2">
        <v>9621.2623535657385</v>
      </c>
      <c r="G352" s="2">
        <v>10631.841983756542</v>
      </c>
      <c r="H352" s="2">
        <v>11328.997919047815</v>
      </c>
      <c r="I352" s="2">
        <v>11615.503680534097</v>
      </c>
      <c r="J352" s="2">
        <v>11942.17200349176</v>
      </c>
    </row>
    <row r="353" spans="1:10" x14ac:dyDescent="0.3">
      <c r="A353" t="s">
        <v>48</v>
      </c>
      <c r="B353" t="s">
        <v>63</v>
      </c>
      <c r="C353" t="s">
        <v>91</v>
      </c>
      <c r="D353" s="2">
        <v>11847.382721382288</v>
      </c>
      <c r="E353" s="2">
        <v>13065.107088143615</v>
      </c>
      <c r="F353" s="2">
        <v>13722.658217785562</v>
      </c>
      <c r="G353" s="2">
        <v>13691.281084917342</v>
      </c>
      <c r="H353" s="2">
        <v>13163.129618292447</v>
      </c>
      <c r="I353" s="2">
        <v>12424.390903522148</v>
      </c>
      <c r="J353" s="2">
        <v>11872.081704325754</v>
      </c>
    </row>
    <row r="354" spans="1:10" x14ac:dyDescent="0.3">
      <c r="A354" t="s">
        <v>49</v>
      </c>
      <c r="B354" t="s">
        <v>63</v>
      </c>
      <c r="C354" t="s">
        <v>91</v>
      </c>
      <c r="D354" s="2">
        <v>6150.5852701138065</v>
      </c>
      <c r="E354" s="2">
        <v>7455.1424754462578</v>
      </c>
      <c r="F354" s="2">
        <v>8446.8906780586403</v>
      </c>
      <c r="G354" s="2">
        <v>9230.6732808226843</v>
      </c>
      <c r="H354" s="2">
        <v>9721.5932169997359</v>
      </c>
      <c r="I354" s="2">
        <v>9969.9429885485388</v>
      </c>
      <c r="J354" s="2">
        <v>10150.549648476455</v>
      </c>
    </row>
    <row r="355" spans="1:10" x14ac:dyDescent="0.3">
      <c r="A355" t="s">
        <v>50</v>
      </c>
      <c r="B355" t="s">
        <v>63</v>
      </c>
      <c r="C355" t="s">
        <v>91</v>
      </c>
      <c r="D355" s="2">
        <v>5895.2318376363382</v>
      </c>
      <c r="E355" s="2">
        <v>7014.7884328124501</v>
      </c>
      <c r="F355" s="2">
        <v>7735.8421643889806</v>
      </c>
      <c r="G355" s="2">
        <v>8219.8292220324747</v>
      </c>
      <c r="H355" s="2">
        <v>8260.118317643306</v>
      </c>
      <c r="I355" s="2">
        <v>8184.7588364884014</v>
      </c>
      <c r="J355" s="2">
        <v>8142.6327794669614</v>
      </c>
    </row>
    <row r="356" spans="1:10" x14ac:dyDescent="0.3">
      <c r="A356" t="s">
        <v>23</v>
      </c>
      <c r="B356" t="s">
        <v>63</v>
      </c>
      <c r="C356" t="s">
        <v>91</v>
      </c>
      <c r="D356" s="2">
        <v>9301.4310750451768</v>
      </c>
      <c r="E356" s="2">
        <v>10845.787508461657</v>
      </c>
      <c r="F356" s="2">
        <v>12241.605438083901</v>
      </c>
      <c r="G356" s="2">
        <v>13471.531481885955</v>
      </c>
      <c r="H356" s="2">
        <v>14297.862898679134</v>
      </c>
      <c r="I356" s="2">
        <v>14903.468429168141</v>
      </c>
      <c r="J356" s="2">
        <v>15390.004924686025</v>
      </c>
    </row>
    <row r="357" spans="1:10" x14ac:dyDescent="0.3">
      <c r="A357" t="s">
        <v>51</v>
      </c>
      <c r="B357" t="s">
        <v>63</v>
      </c>
      <c r="C357" t="s">
        <v>91</v>
      </c>
      <c r="D357" s="2">
        <v>13322.135618947919</v>
      </c>
      <c r="E357" s="2">
        <v>14863.916941896634</v>
      </c>
      <c r="F357" s="2">
        <v>15915.508412341351</v>
      </c>
      <c r="G357" s="2">
        <v>16210.245281169424</v>
      </c>
      <c r="H357" s="2">
        <v>15953.532183164683</v>
      </c>
      <c r="I357" s="2">
        <v>15539.245511630452</v>
      </c>
      <c r="J357" s="2">
        <v>14985.265038473161</v>
      </c>
    </row>
    <row r="358" spans="1:10" x14ac:dyDescent="0.3">
      <c r="A358" t="s">
        <v>24</v>
      </c>
      <c r="B358" t="s">
        <v>63</v>
      </c>
      <c r="C358" t="s">
        <v>91</v>
      </c>
      <c r="D358" s="2">
        <v>7944.943919628131</v>
      </c>
      <c r="E358" s="2">
        <v>9305.645206743231</v>
      </c>
      <c r="F358" s="2">
        <v>11038.195057817276</v>
      </c>
      <c r="G358" s="2">
        <v>12295.930155843414</v>
      </c>
      <c r="H358" s="2">
        <v>13041.512056896092</v>
      </c>
      <c r="I358" s="2">
        <v>13626.922213637232</v>
      </c>
      <c r="J358" s="2">
        <v>14362.515824021793</v>
      </c>
    </row>
  </sheetData>
  <pageMargins left="0.7" right="0.7" top="0.75" bottom="0.75" header="0.3" footer="0.3"/>
  <pageSetup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8449D-2C35-40A6-8AB0-7A125C73FB89}">
  <dimension ref="A1:B20"/>
  <sheetViews>
    <sheetView workbookViewId="0"/>
  </sheetViews>
  <sheetFormatPr defaultRowHeight="14.4" x14ac:dyDescent="0.3"/>
  <cols>
    <col min="1" max="1" width="39" bestFit="1" customWidth="1"/>
    <col min="2" max="2" width="156.33203125" bestFit="1" customWidth="1"/>
  </cols>
  <sheetData>
    <row r="1" spans="1:2" x14ac:dyDescent="0.3">
      <c r="A1" s="3" t="s">
        <v>25</v>
      </c>
      <c r="B1" s="3" t="s">
        <v>35</v>
      </c>
    </row>
    <row r="2" spans="1:2" x14ac:dyDescent="0.3">
      <c r="A2" t="s">
        <v>11</v>
      </c>
      <c r="B2" t="s">
        <v>26</v>
      </c>
    </row>
    <row r="3" spans="1:2" x14ac:dyDescent="0.3">
      <c r="A3" t="s">
        <v>12</v>
      </c>
      <c r="B3" t="s">
        <v>27</v>
      </c>
    </row>
    <row r="4" spans="1:2" x14ac:dyDescent="0.3">
      <c r="A4" t="s">
        <v>13</v>
      </c>
      <c r="B4" t="s">
        <v>28</v>
      </c>
    </row>
    <row r="5" spans="1:2" x14ac:dyDescent="0.3">
      <c r="A5" t="s">
        <v>14</v>
      </c>
      <c r="B5" t="s">
        <v>29</v>
      </c>
    </row>
    <row r="6" spans="1:2" x14ac:dyDescent="0.3">
      <c r="A6" t="s">
        <v>4</v>
      </c>
      <c r="B6" t="s">
        <v>30</v>
      </c>
    </row>
    <row r="7" spans="1:2" x14ac:dyDescent="0.3">
      <c r="A7" t="s">
        <v>15</v>
      </c>
      <c r="B7" t="s">
        <v>31</v>
      </c>
    </row>
    <row r="8" spans="1:2" x14ac:dyDescent="0.3">
      <c r="A8" t="s">
        <v>5</v>
      </c>
      <c r="B8" t="s">
        <v>32</v>
      </c>
    </row>
    <row r="9" spans="1:2" x14ac:dyDescent="0.3">
      <c r="A9" t="s">
        <v>6</v>
      </c>
      <c r="B9" t="s">
        <v>33</v>
      </c>
    </row>
    <row r="10" spans="1:2" x14ac:dyDescent="0.3">
      <c r="A10" t="s">
        <v>10</v>
      </c>
      <c r="B10" t="s">
        <v>34</v>
      </c>
    </row>
    <row r="11" spans="1:2" x14ac:dyDescent="0.3">
      <c r="A11" t="s">
        <v>110</v>
      </c>
      <c r="B11" t="s">
        <v>146</v>
      </c>
    </row>
    <row r="12" spans="1:2" x14ac:dyDescent="0.3">
      <c r="A12" t="s">
        <v>111</v>
      </c>
      <c r="B12" t="s">
        <v>147</v>
      </c>
    </row>
    <row r="13" spans="1:2" x14ac:dyDescent="0.3">
      <c r="A13" t="s">
        <v>16</v>
      </c>
      <c r="B13" t="s">
        <v>36</v>
      </c>
    </row>
    <row r="14" spans="1:2" x14ac:dyDescent="0.3">
      <c r="A14" t="s">
        <v>7</v>
      </c>
      <c r="B14" t="s">
        <v>37</v>
      </c>
    </row>
    <row r="15" spans="1:2" x14ac:dyDescent="0.3">
      <c r="A15" t="s">
        <v>8</v>
      </c>
      <c r="B15" t="s">
        <v>38</v>
      </c>
    </row>
    <row r="16" spans="1:2" x14ac:dyDescent="0.3">
      <c r="A16" t="s">
        <v>9</v>
      </c>
      <c r="B16" t="s">
        <v>39</v>
      </c>
    </row>
    <row r="17" spans="1:2" x14ac:dyDescent="0.3">
      <c r="A17" t="s">
        <v>17</v>
      </c>
      <c r="B17" t="s">
        <v>40</v>
      </c>
    </row>
    <row r="19" spans="1:2" x14ac:dyDescent="0.3">
      <c r="A19" t="s">
        <v>97</v>
      </c>
      <c r="B19" t="s">
        <v>136</v>
      </c>
    </row>
    <row r="20" spans="1:2" x14ac:dyDescent="0.3">
      <c r="A20" t="s">
        <v>53</v>
      </c>
      <c r="B20" t="s">
        <v>88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43B8F-1EF4-4BAC-9126-165AD0981F7C}">
  <dimension ref="A1:N76"/>
  <sheetViews>
    <sheetView workbookViewId="0">
      <selection activeCell="E14" sqref="E14"/>
    </sheetView>
  </sheetViews>
  <sheetFormatPr defaultRowHeight="14.4" x14ac:dyDescent="0.3"/>
  <cols>
    <col min="2" max="2" width="19.6640625" bestFit="1" customWidth="1"/>
  </cols>
  <sheetData>
    <row r="1" spans="1:14" x14ac:dyDescent="0.3">
      <c r="A1" t="s">
        <v>125</v>
      </c>
      <c r="B1" t="s">
        <v>25</v>
      </c>
      <c r="C1">
        <v>1980</v>
      </c>
      <c r="D1">
        <v>1990</v>
      </c>
      <c r="E1">
        <v>2000</v>
      </c>
      <c r="F1">
        <v>2010</v>
      </c>
      <c r="G1">
        <v>2020</v>
      </c>
      <c r="H1">
        <v>2021</v>
      </c>
      <c r="I1">
        <v>2025</v>
      </c>
      <c r="J1">
        <v>2030</v>
      </c>
      <c r="K1">
        <v>2035</v>
      </c>
      <c r="L1">
        <v>2040</v>
      </c>
      <c r="M1">
        <v>2045</v>
      </c>
      <c r="N1">
        <v>2050</v>
      </c>
    </row>
    <row r="2" spans="1:14" x14ac:dyDescent="0.3">
      <c r="A2" t="s">
        <v>18</v>
      </c>
      <c r="B2" t="s">
        <v>122</v>
      </c>
      <c r="C2">
        <f>'Total Population'!B5</f>
        <v>53840</v>
      </c>
      <c r="D2">
        <f>'Total Population'!C5</f>
        <v>67482</v>
      </c>
      <c r="E2">
        <f>'Total Population'!D5</f>
        <v>111759</v>
      </c>
      <c r="F2">
        <f>'Total Population'!E5</f>
        <v>175099</v>
      </c>
      <c r="G2">
        <f>'Total Population'!F5</f>
        <v>215062</v>
      </c>
      <c r="H2">
        <f>'Total Population'!G5</f>
        <v>220740</v>
      </c>
    </row>
    <row r="3" spans="1:14" x14ac:dyDescent="0.3">
      <c r="A3" t="s">
        <v>18</v>
      </c>
      <c r="B3" t="s">
        <v>123</v>
      </c>
      <c r="H3">
        <f>H2</f>
        <v>220740</v>
      </c>
      <c r="I3">
        <f>'Total Population'!H5</f>
        <v>247016</v>
      </c>
      <c r="J3">
        <f>'Total Population'!M5</f>
        <v>277484</v>
      </c>
      <c r="K3">
        <f>'Total Population'!R5</f>
        <v>310863</v>
      </c>
      <c r="L3">
        <f>'Total Population'!W5</f>
        <v>340917</v>
      </c>
      <c r="M3">
        <f>'Total Population'!AB5</f>
        <v>369307</v>
      </c>
      <c r="N3">
        <f>'Total Population'!AG5</f>
        <v>397697</v>
      </c>
    </row>
    <row r="4" spans="1:14" x14ac:dyDescent="0.3">
      <c r="A4" t="s">
        <v>18</v>
      </c>
      <c r="B4" t="s">
        <v>124</v>
      </c>
      <c r="H4">
        <f>H2</f>
        <v>220740</v>
      </c>
      <c r="I4" s="82">
        <f>'Total Population'!I5</f>
        <v>248441</v>
      </c>
      <c r="J4" s="82">
        <f>'Total Population'!N5</f>
        <v>287218</v>
      </c>
      <c r="K4" s="82">
        <f>'Total Population'!S5</f>
        <v>329249</v>
      </c>
      <c r="L4" s="82">
        <f>'Total Population'!X5</f>
        <v>373888</v>
      </c>
      <c r="M4" s="82">
        <f>'Total Population'!AC5</f>
        <v>420768</v>
      </c>
      <c r="N4" s="82">
        <f>'Total Population'!AH5</f>
        <v>469644</v>
      </c>
    </row>
    <row r="5" spans="1:14" x14ac:dyDescent="0.3">
      <c r="A5" t="s">
        <v>18</v>
      </c>
      <c r="B5" t="s">
        <v>124</v>
      </c>
      <c r="H5">
        <f>H2</f>
        <v>220740</v>
      </c>
      <c r="I5" s="82">
        <f>'Total Population'!J5</f>
        <v>238464</v>
      </c>
      <c r="J5" s="82">
        <f>'Total Population'!O5</f>
        <v>256467</v>
      </c>
      <c r="K5" s="82">
        <f>'Total Population'!T5</f>
        <v>271216</v>
      </c>
      <c r="L5" s="82">
        <f>'Total Population'!Y5</f>
        <v>283357</v>
      </c>
      <c r="M5" s="82">
        <f>'Total Population'!AD5</f>
        <v>293257</v>
      </c>
      <c r="N5" s="82">
        <f>'Total Population'!AI5</f>
        <v>301161</v>
      </c>
    </row>
    <row r="6" spans="1:14" x14ac:dyDescent="0.3">
      <c r="A6" t="s">
        <v>19</v>
      </c>
      <c r="B6" t="s">
        <v>122</v>
      </c>
      <c r="C6">
        <f>'Total Population'!B6</f>
        <v>93678</v>
      </c>
      <c r="D6">
        <f>'Total Population'!C6</f>
        <v>103823</v>
      </c>
      <c r="E6">
        <f>'Total Population'!D6</f>
        <v>123485</v>
      </c>
      <c r="F6">
        <f>'Total Population'!E6</f>
        <v>146417</v>
      </c>
      <c r="G6">
        <f>'Total Population'!F6</f>
        <v>159357</v>
      </c>
      <c r="H6">
        <f>'Total Population'!G6</f>
        <v>161064</v>
      </c>
    </row>
    <row r="7" spans="1:14" x14ac:dyDescent="0.3">
      <c r="A7" t="s">
        <v>19</v>
      </c>
      <c r="B7" t="s">
        <v>123</v>
      </c>
      <c r="H7">
        <f>H6</f>
        <v>161064</v>
      </c>
      <c r="I7">
        <f>'Total Population'!H6</f>
        <v>169183</v>
      </c>
      <c r="J7">
        <f>'Total Population'!M6</f>
        <v>178449</v>
      </c>
      <c r="K7">
        <f>'Total Population'!R6</f>
        <v>188820</v>
      </c>
      <c r="L7">
        <f>'Total Population'!W6</f>
        <v>197928</v>
      </c>
      <c r="M7">
        <f>'Total Population'!AB6</f>
        <v>206404</v>
      </c>
      <c r="N7">
        <f>'Total Population'!AG6</f>
        <v>214880</v>
      </c>
    </row>
    <row r="8" spans="1:14" x14ac:dyDescent="0.3">
      <c r="A8" t="s">
        <v>19</v>
      </c>
      <c r="B8" t="s">
        <v>124</v>
      </c>
      <c r="H8">
        <f>H6</f>
        <v>161064</v>
      </c>
      <c r="I8" s="82">
        <f>'Total Population'!I6</f>
        <v>171704</v>
      </c>
      <c r="J8" s="82">
        <f>'Total Population'!N6</f>
        <v>188541</v>
      </c>
      <c r="K8" s="82">
        <f>'Total Population'!S6</f>
        <v>208055</v>
      </c>
      <c r="L8" s="82">
        <f>'Total Population'!X6</f>
        <v>229705</v>
      </c>
      <c r="M8" s="82">
        <f>'Total Population'!AC6</f>
        <v>253189</v>
      </c>
      <c r="N8" s="82">
        <f>'Total Population'!AH6</f>
        <v>278304</v>
      </c>
    </row>
    <row r="9" spans="1:14" x14ac:dyDescent="0.3">
      <c r="A9" t="s">
        <v>19</v>
      </c>
      <c r="B9" t="s">
        <v>124</v>
      </c>
      <c r="H9">
        <f>H6</f>
        <v>161064</v>
      </c>
      <c r="I9" s="82">
        <f>'Total Population'!J6</f>
        <v>163990</v>
      </c>
      <c r="J9" s="82">
        <f>'Total Population'!O6</f>
        <v>164104</v>
      </c>
      <c r="K9" s="82">
        <f>'Total Population'!T6</f>
        <v>161542</v>
      </c>
      <c r="L9" s="82">
        <f>'Total Population'!Y6</f>
        <v>156843</v>
      </c>
      <c r="M9" s="82">
        <f>'Total Population'!AD6</f>
        <v>150311</v>
      </c>
      <c r="N9" s="82">
        <f>'Total Population'!AI6</f>
        <v>142147</v>
      </c>
    </row>
    <row r="10" spans="1:14" x14ac:dyDescent="0.3">
      <c r="A10" t="s">
        <v>44</v>
      </c>
      <c r="B10" t="s">
        <v>122</v>
      </c>
      <c r="C10">
        <f>'Total Population'!B7</f>
        <v>27467</v>
      </c>
      <c r="D10">
        <f>'Total Population'!C7</f>
        <v>27501</v>
      </c>
      <c r="E10">
        <f>'Total Population'!D7</f>
        <v>28495</v>
      </c>
      <c r="F10">
        <f>'Total Population'!E7</f>
        <v>29014</v>
      </c>
      <c r="G10">
        <f>'Total Population'!F7</f>
        <v>28939</v>
      </c>
      <c r="H10">
        <f>'Total Population'!G7</f>
        <v>28906</v>
      </c>
    </row>
    <row r="11" spans="1:14" x14ac:dyDescent="0.3">
      <c r="A11" t="s">
        <v>44</v>
      </c>
      <c r="B11" t="s">
        <v>123</v>
      </c>
      <c r="H11">
        <f>H10</f>
        <v>28906</v>
      </c>
      <c r="I11">
        <f>'Total Population'!H7</f>
        <v>29419</v>
      </c>
      <c r="J11">
        <f>'Total Population'!M7</f>
        <v>30011</v>
      </c>
      <c r="K11">
        <f>'Total Population'!R7</f>
        <v>30634</v>
      </c>
      <c r="L11">
        <f>'Total Population'!W7</f>
        <v>31220</v>
      </c>
      <c r="M11">
        <f>'Total Population'!AB7</f>
        <v>31790</v>
      </c>
      <c r="N11">
        <f>'Total Population'!AG7</f>
        <v>32360</v>
      </c>
    </row>
    <row r="12" spans="1:14" x14ac:dyDescent="0.3">
      <c r="A12" t="s">
        <v>44</v>
      </c>
      <c r="B12" t="s">
        <v>124</v>
      </c>
      <c r="H12">
        <f>H10</f>
        <v>28906</v>
      </c>
      <c r="I12" s="82">
        <f>'Total Population'!I7</f>
        <v>29855</v>
      </c>
      <c r="J12" s="82">
        <f>'Total Population'!N7</f>
        <v>31216</v>
      </c>
      <c r="K12" s="82">
        <f>'Total Population'!S7</f>
        <v>32814</v>
      </c>
      <c r="L12" s="82">
        <f>'Total Population'!X7</f>
        <v>34594</v>
      </c>
      <c r="M12" s="82">
        <f>'Total Population'!AC7</f>
        <v>36534</v>
      </c>
      <c r="N12" s="82">
        <f>'Total Population'!AH7</f>
        <v>38618</v>
      </c>
    </row>
    <row r="13" spans="1:14" x14ac:dyDescent="0.3">
      <c r="A13" t="s">
        <v>44</v>
      </c>
      <c r="B13" t="s">
        <v>124</v>
      </c>
      <c r="H13">
        <f>H10</f>
        <v>28906</v>
      </c>
      <c r="I13" s="82">
        <f>'Total Population'!J7</f>
        <v>28912</v>
      </c>
      <c r="J13" s="82">
        <f>'Total Population'!O7</f>
        <v>28691</v>
      </c>
      <c r="K13" s="82">
        <f>'Total Population'!T7</f>
        <v>28240</v>
      </c>
      <c r="L13" s="82">
        <f>'Total Population'!Y7</f>
        <v>27601</v>
      </c>
      <c r="M13" s="82">
        <f>'Total Population'!AD7</f>
        <v>26802</v>
      </c>
      <c r="N13" s="82">
        <f>'Total Population'!AI7</f>
        <v>25859</v>
      </c>
    </row>
    <row r="14" spans="1:14" x14ac:dyDescent="0.3">
      <c r="A14" t="s">
        <v>20</v>
      </c>
      <c r="B14" t="s">
        <v>122</v>
      </c>
      <c r="C14">
        <f>'Total Population'!B8</f>
        <v>869126</v>
      </c>
      <c r="D14">
        <f>'Total Population'!C8</f>
        <v>965600</v>
      </c>
      <c r="E14">
        <f>'Total Population'!D8</f>
        <v>1072018</v>
      </c>
      <c r="F14">
        <f>'Total Population'!E8</f>
        <v>1166202</v>
      </c>
      <c r="G14">
        <f>'Total Population'!F8</f>
        <v>1324013</v>
      </c>
      <c r="H14">
        <f>'Total Population'!G8</f>
        <v>1321414</v>
      </c>
    </row>
    <row r="15" spans="1:14" x14ac:dyDescent="0.3">
      <c r="A15" t="s">
        <v>20</v>
      </c>
      <c r="B15" t="s">
        <v>123</v>
      </c>
      <c r="H15">
        <f>H14</f>
        <v>1321414</v>
      </c>
      <c r="I15">
        <f>'Total Population'!H8</f>
        <v>1390127</v>
      </c>
      <c r="J15">
        <f>'Total Population'!M8</f>
        <v>1447090</v>
      </c>
      <c r="K15">
        <f>'Total Population'!R8</f>
        <v>1519844</v>
      </c>
      <c r="L15">
        <f>'Total Population'!W8</f>
        <v>1574551</v>
      </c>
      <c r="M15">
        <f>'Total Population'!AB8</f>
        <v>1620232</v>
      </c>
      <c r="N15">
        <f>'Total Population'!AG8</f>
        <v>1665914</v>
      </c>
    </row>
    <row r="16" spans="1:14" x14ac:dyDescent="0.3">
      <c r="A16" t="s">
        <v>20</v>
      </c>
      <c r="B16" t="s">
        <v>124</v>
      </c>
      <c r="H16">
        <f>H14</f>
        <v>1321414</v>
      </c>
      <c r="I16" s="82">
        <f>'Total Population'!I8</f>
        <v>1409654</v>
      </c>
      <c r="J16" s="82">
        <f>'Total Population'!N8</f>
        <v>1506988</v>
      </c>
      <c r="K16" s="82">
        <f>'Total Population'!S8</f>
        <v>1617180</v>
      </c>
      <c r="L16" s="82">
        <f>'Total Population'!X8</f>
        <v>1738045</v>
      </c>
      <c r="M16" s="82">
        <f>'Total Population'!AC8</f>
        <v>1868239</v>
      </c>
      <c r="N16" s="82">
        <f>'Total Population'!AH8</f>
        <v>2006828</v>
      </c>
    </row>
    <row r="17" spans="1:14" x14ac:dyDescent="0.3">
      <c r="A17" t="s">
        <v>20</v>
      </c>
      <c r="B17" t="s">
        <v>124</v>
      </c>
      <c r="H17">
        <f>H14</f>
        <v>1321414</v>
      </c>
      <c r="I17" s="82">
        <f>'Total Population'!J8</f>
        <v>1333445</v>
      </c>
      <c r="J17" s="82">
        <f>'Total Population'!O8</f>
        <v>1327469</v>
      </c>
      <c r="K17" s="82">
        <f>'Total Population'!T8</f>
        <v>1308636</v>
      </c>
      <c r="L17" s="82">
        <f>'Total Population'!Y8</f>
        <v>1279131</v>
      </c>
      <c r="M17" s="82">
        <f>'Total Population'!AD8</f>
        <v>1240296</v>
      </c>
      <c r="N17" s="82">
        <f>'Total Population'!AI8</f>
        <v>1193066</v>
      </c>
    </row>
    <row r="18" spans="1:14" x14ac:dyDescent="0.3">
      <c r="A18" t="s">
        <v>45</v>
      </c>
      <c r="B18" t="s">
        <v>122</v>
      </c>
      <c r="C18">
        <f>'Total Population'!B9</f>
        <v>24304</v>
      </c>
      <c r="D18">
        <f>'Total Population'!C9</f>
        <v>25594</v>
      </c>
      <c r="E18">
        <f>'Total Population'!D9</f>
        <v>28262</v>
      </c>
      <c r="F18">
        <f>'Total Population'!E9</f>
        <v>29478</v>
      </c>
      <c r="G18">
        <f>'Total Population'!F9</f>
        <v>27999</v>
      </c>
      <c r="H18">
        <f>'Total Population'!G9</f>
        <v>28097</v>
      </c>
    </row>
    <row r="19" spans="1:14" x14ac:dyDescent="0.3">
      <c r="A19" t="s">
        <v>45</v>
      </c>
      <c r="B19" t="s">
        <v>123</v>
      </c>
      <c r="H19">
        <f>H18</f>
        <v>28097</v>
      </c>
      <c r="I19">
        <f>'Total Population'!H9</f>
        <v>27965</v>
      </c>
      <c r="J19">
        <f>'Total Population'!M9</f>
        <v>27762</v>
      </c>
      <c r="K19">
        <f>'Total Population'!R9</f>
        <v>27629</v>
      </c>
      <c r="L19">
        <f>'Total Population'!W9</f>
        <v>27428</v>
      </c>
      <c r="M19">
        <f>'Total Population'!AB9</f>
        <v>27190</v>
      </c>
      <c r="N19">
        <f>'Total Population'!AG9</f>
        <v>26953</v>
      </c>
    </row>
    <row r="20" spans="1:14" x14ac:dyDescent="0.3">
      <c r="A20" t="s">
        <v>45</v>
      </c>
      <c r="B20" t="s">
        <v>124</v>
      </c>
      <c r="H20">
        <f>H18</f>
        <v>28097</v>
      </c>
      <c r="I20" s="82">
        <f>'Total Population'!I9</f>
        <v>28660</v>
      </c>
      <c r="J20" s="82">
        <f>'Total Population'!N9</f>
        <v>29751</v>
      </c>
      <c r="K20" s="82">
        <f>'Total Population'!S9</f>
        <v>31239</v>
      </c>
      <c r="L20" s="82">
        <f>'Total Population'!X9</f>
        <v>33041</v>
      </c>
      <c r="M20" s="82">
        <f>'Total Population'!AC9</f>
        <v>35114</v>
      </c>
      <c r="N20" s="82">
        <f>'Total Population'!AH9</f>
        <v>37429</v>
      </c>
    </row>
    <row r="21" spans="1:14" x14ac:dyDescent="0.3">
      <c r="A21" t="s">
        <v>45</v>
      </c>
      <c r="B21" t="s">
        <v>124</v>
      </c>
      <c r="H21">
        <f>H18</f>
        <v>28097</v>
      </c>
      <c r="I21" s="82">
        <f>'Total Population'!J9</f>
        <v>27122</v>
      </c>
      <c r="J21" s="82">
        <f>'Total Population'!O9</f>
        <v>25535</v>
      </c>
      <c r="K21" s="82">
        <f>'Total Population'!T9</f>
        <v>23571</v>
      </c>
      <c r="L21" s="82">
        <f>'Total Population'!Y9</f>
        <v>21295</v>
      </c>
      <c r="M21" s="82">
        <f>'Total Population'!AD9</f>
        <v>18747</v>
      </c>
      <c r="N21" s="82">
        <f>'Total Population'!AI9</f>
        <v>15958</v>
      </c>
    </row>
    <row r="22" spans="1:14" x14ac:dyDescent="0.3">
      <c r="A22" t="s">
        <v>46</v>
      </c>
      <c r="B22" t="s">
        <v>122</v>
      </c>
      <c r="C22">
        <f>'Total Population'!B10</f>
        <v>46304</v>
      </c>
      <c r="D22">
        <f>'Total Population'!C10</f>
        <v>47637</v>
      </c>
      <c r="E22">
        <f>'Total Population'!D10</f>
        <v>54616</v>
      </c>
      <c r="F22">
        <f>'Total Population'!E10</f>
        <v>61090</v>
      </c>
      <c r="G22">
        <f>'Total Population'!F10</f>
        <v>62765</v>
      </c>
      <c r="H22">
        <f>'Total Population'!G10</f>
        <v>62897</v>
      </c>
    </row>
    <row r="23" spans="1:14" x14ac:dyDescent="0.3">
      <c r="A23" t="s">
        <v>46</v>
      </c>
      <c r="B23" t="s">
        <v>123</v>
      </c>
      <c r="H23">
        <f>H22</f>
        <v>62897</v>
      </c>
      <c r="I23">
        <f>'Total Population'!H10</f>
        <v>64157</v>
      </c>
      <c r="J23">
        <f>'Total Population'!M10</f>
        <v>65339</v>
      </c>
      <c r="K23">
        <f>'Total Population'!R10</f>
        <v>67013</v>
      </c>
      <c r="L23">
        <f>'Total Population'!W10</f>
        <v>68125</v>
      </c>
      <c r="M23">
        <f>'Total Population'!AB10</f>
        <v>68957</v>
      </c>
      <c r="N23">
        <f>'Total Population'!AG10</f>
        <v>69790</v>
      </c>
    </row>
    <row r="24" spans="1:14" x14ac:dyDescent="0.3">
      <c r="A24" t="s">
        <v>46</v>
      </c>
      <c r="B24" t="s">
        <v>124</v>
      </c>
      <c r="H24">
        <f>H22</f>
        <v>62897</v>
      </c>
      <c r="I24" s="82">
        <f>'Total Population'!I10</f>
        <v>65164</v>
      </c>
      <c r="J24" s="82">
        <f>'Total Population'!N10</f>
        <v>69227</v>
      </c>
      <c r="K24" s="82">
        <f>'Total Population'!S10</f>
        <v>74288</v>
      </c>
      <c r="L24" s="82">
        <f>'Total Population'!X10</f>
        <v>80150</v>
      </c>
      <c r="M24" s="82">
        <f>'Total Population'!AC10</f>
        <v>86702</v>
      </c>
      <c r="N24" s="82">
        <f>'Total Population'!AH10</f>
        <v>93868</v>
      </c>
    </row>
    <row r="25" spans="1:14" x14ac:dyDescent="0.3">
      <c r="A25" t="s">
        <v>46</v>
      </c>
      <c r="B25" t="s">
        <v>124</v>
      </c>
      <c r="H25">
        <f>H22</f>
        <v>62897</v>
      </c>
      <c r="I25" s="82">
        <f>'Total Population'!J10</f>
        <v>61970</v>
      </c>
      <c r="J25" s="82">
        <f>'Total Population'!O10</f>
        <v>59572</v>
      </c>
      <c r="K25" s="82">
        <f>'Total Population'!T10</f>
        <v>56176</v>
      </c>
      <c r="L25" s="82">
        <f>'Total Population'!Y10</f>
        <v>51978</v>
      </c>
      <c r="M25" s="82">
        <f>'Total Population'!AD10</f>
        <v>47091</v>
      </c>
      <c r="N25" s="82">
        <f>'Total Population'!AI10</f>
        <v>41589</v>
      </c>
    </row>
    <row r="26" spans="1:14" x14ac:dyDescent="0.3">
      <c r="A26" t="s">
        <v>21</v>
      </c>
      <c r="B26" t="s">
        <v>122</v>
      </c>
      <c r="C26">
        <f>'Total Population'!B11</f>
        <v>120981</v>
      </c>
      <c r="D26">
        <f>'Total Population'!C11</f>
        <v>129006</v>
      </c>
      <c r="E26">
        <f>'Total Population'!D11</f>
        <v>146268</v>
      </c>
      <c r="F26">
        <f>'Total Population'!E11</f>
        <v>166705</v>
      </c>
      <c r="G26">
        <f>'Total Population'!F11</f>
        <v>178680</v>
      </c>
      <c r="H26">
        <f>'Total Population'!G11</f>
        <v>180401</v>
      </c>
    </row>
    <row r="27" spans="1:14" x14ac:dyDescent="0.3">
      <c r="A27" t="s">
        <v>21</v>
      </c>
      <c r="B27" t="s">
        <v>123</v>
      </c>
      <c r="H27">
        <f>H26</f>
        <v>180401</v>
      </c>
      <c r="I27">
        <f>'Total Population'!H11</f>
        <v>190915</v>
      </c>
      <c r="J27">
        <f>'Total Population'!M11</f>
        <v>200710</v>
      </c>
      <c r="K27">
        <f>'Total Population'!R11</f>
        <v>216962</v>
      </c>
      <c r="L27">
        <f>'Total Population'!W11</f>
        <v>225833</v>
      </c>
      <c r="M27">
        <f>'Total Population'!AB11</f>
        <v>231017</v>
      </c>
      <c r="N27">
        <f>'Total Population'!AG11</f>
        <v>236202</v>
      </c>
    </row>
    <row r="28" spans="1:14" x14ac:dyDescent="0.3">
      <c r="A28" t="s">
        <v>21</v>
      </c>
      <c r="B28" t="s">
        <v>124</v>
      </c>
      <c r="H28">
        <f>H26</f>
        <v>180401</v>
      </c>
      <c r="I28" s="82">
        <f>'Total Population'!I11</f>
        <v>189312</v>
      </c>
      <c r="J28" s="82">
        <f>'Total Population'!N11</f>
        <v>203164</v>
      </c>
      <c r="K28" s="82">
        <f>'Total Population'!S11</f>
        <v>219200</v>
      </c>
      <c r="L28" s="82">
        <f>'Total Population'!X11</f>
        <v>237045</v>
      </c>
      <c r="M28" s="82">
        <f>'Total Population'!AC11</f>
        <v>256471</v>
      </c>
      <c r="N28" s="82">
        <f>'Total Population'!AH11</f>
        <v>277319</v>
      </c>
    </row>
    <row r="29" spans="1:14" x14ac:dyDescent="0.3">
      <c r="A29" t="s">
        <v>21</v>
      </c>
      <c r="B29" t="s">
        <v>124</v>
      </c>
      <c r="H29">
        <f>H26</f>
        <v>180401</v>
      </c>
      <c r="I29" s="82">
        <f>'Total Population'!J11</f>
        <v>176808</v>
      </c>
      <c r="J29" s="82">
        <f>'Total Population'!O11</f>
        <v>173324</v>
      </c>
      <c r="K29" s="82">
        <f>'Total Population'!T11</f>
        <v>167658</v>
      </c>
      <c r="L29" s="82">
        <f>'Total Population'!Y11</f>
        <v>160181</v>
      </c>
      <c r="M29" s="82">
        <f>'Total Population'!AD11</f>
        <v>151123</v>
      </c>
      <c r="N29" s="82">
        <f>'Total Population'!AI11</f>
        <v>140644</v>
      </c>
    </row>
    <row r="30" spans="1:14" x14ac:dyDescent="0.3">
      <c r="A30" t="s">
        <v>47</v>
      </c>
      <c r="B30" t="s">
        <v>122</v>
      </c>
      <c r="C30">
        <f>'Total Population'!B12</f>
        <v>39155</v>
      </c>
      <c r="D30">
        <f>'Total Population'!C12</f>
        <v>42417</v>
      </c>
      <c r="E30">
        <f>'Total Population'!D12</f>
        <v>45984</v>
      </c>
      <c r="F30">
        <f>'Total Population'!E12</f>
        <v>45743</v>
      </c>
      <c r="G30">
        <f>'Total Population'!F12</f>
        <v>46065</v>
      </c>
      <c r="H30">
        <f>'Total Population'!G12</f>
        <v>46035</v>
      </c>
    </row>
    <row r="31" spans="1:14" x14ac:dyDescent="0.3">
      <c r="A31" t="s">
        <v>47</v>
      </c>
      <c r="B31" t="s">
        <v>123</v>
      </c>
      <c r="H31">
        <f>H30</f>
        <v>46035</v>
      </c>
      <c r="I31">
        <f>'Total Population'!H12</f>
        <v>46095</v>
      </c>
      <c r="J31">
        <f>'Total Population'!M12</f>
        <v>46407</v>
      </c>
      <c r="K31">
        <f>'Total Population'!R12</f>
        <v>46763</v>
      </c>
      <c r="L31">
        <f>'Total Population'!W12</f>
        <v>47058</v>
      </c>
      <c r="M31">
        <f>'Total Population'!AB12</f>
        <v>47335</v>
      </c>
      <c r="N31">
        <f>'Total Population'!AG12</f>
        <v>47611</v>
      </c>
    </row>
    <row r="32" spans="1:14" x14ac:dyDescent="0.3">
      <c r="A32" t="s">
        <v>47</v>
      </c>
      <c r="B32" t="s">
        <v>124</v>
      </c>
      <c r="H32">
        <f>H30</f>
        <v>46035</v>
      </c>
      <c r="I32" s="82">
        <f>'Total Population'!I12</f>
        <v>47290</v>
      </c>
      <c r="J32" s="82">
        <f>'Total Population'!N12</f>
        <v>49351</v>
      </c>
      <c r="K32" s="82">
        <f>'Total Population'!S12</f>
        <v>51833</v>
      </c>
      <c r="L32" s="82">
        <f>'Total Population'!X12</f>
        <v>54679</v>
      </c>
      <c r="M32" s="82">
        <f>'Total Population'!AC12</f>
        <v>57844</v>
      </c>
      <c r="N32" s="82">
        <f>'Total Population'!AH12</f>
        <v>61297</v>
      </c>
    </row>
    <row r="33" spans="1:14" x14ac:dyDescent="0.3">
      <c r="A33" t="s">
        <v>47</v>
      </c>
      <c r="B33" t="s">
        <v>124</v>
      </c>
      <c r="H33">
        <f>H30</f>
        <v>46035</v>
      </c>
      <c r="I33" s="82">
        <f>'Total Population'!J12</f>
        <v>44871</v>
      </c>
      <c r="J33" s="82">
        <f>'Total Population'!O12</f>
        <v>43377</v>
      </c>
      <c r="K33" s="82">
        <f>'Total Population'!T12</f>
        <v>41448</v>
      </c>
      <c r="L33" s="82">
        <f>'Total Population'!Y12</f>
        <v>39156</v>
      </c>
      <c r="M33" s="82">
        <f>'Total Population'!AD12</f>
        <v>36544</v>
      </c>
      <c r="N33" s="82">
        <f>'Total Population'!AI12</f>
        <v>33644</v>
      </c>
    </row>
    <row r="34" spans="1:14" x14ac:dyDescent="0.3">
      <c r="A34" t="s">
        <v>22</v>
      </c>
      <c r="B34" t="s">
        <v>122</v>
      </c>
      <c r="C34">
        <f>'Total Population'!B13</f>
        <v>33004</v>
      </c>
      <c r="D34">
        <f>'Total Population'!C13</f>
        <v>37111</v>
      </c>
      <c r="E34">
        <f>'Total Population'!D13</f>
        <v>40218</v>
      </c>
      <c r="F34">
        <f>'Total Population'!E13</f>
        <v>43434</v>
      </c>
      <c r="G34">
        <f>'Total Population'!F13</f>
        <v>43823</v>
      </c>
      <c r="H34">
        <f>'Total Population'!G13</f>
        <v>44386</v>
      </c>
    </row>
    <row r="35" spans="1:14" x14ac:dyDescent="0.3">
      <c r="A35" t="s">
        <v>22</v>
      </c>
      <c r="B35" t="s">
        <v>123</v>
      </c>
      <c r="H35">
        <f>H34</f>
        <v>44386</v>
      </c>
      <c r="I35">
        <f>'Total Population'!H13</f>
        <v>46487</v>
      </c>
      <c r="J35">
        <f>'Total Population'!M13</f>
        <v>48833</v>
      </c>
      <c r="K35">
        <f>'Total Population'!R13</f>
        <v>51412</v>
      </c>
      <c r="L35">
        <f>'Total Population'!W13</f>
        <v>53726</v>
      </c>
      <c r="M35">
        <f>'Total Population'!AB13</f>
        <v>55905</v>
      </c>
      <c r="N35">
        <f>'Total Population'!AG13</f>
        <v>58084</v>
      </c>
    </row>
    <row r="36" spans="1:14" x14ac:dyDescent="0.3">
      <c r="A36" t="s">
        <v>22</v>
      </c>
      <c r="B36" t="s">
        <v>124</v>
      </c>
      <c r="H36">
        <f>H34</f>
        <v>44386</v>
      </c>
      <c r="I36" s="82">
        <f>'Total Population'!I13</f>
        <v>49508</v>
      </c>
      <c r="J36" s="82">
        <f>'Total Population'!N13</f>
        <v>58168</v>
      </c>
      <c r="K36" s="82">
        <f>'Total Population'!S13</f>
        <v>68798</v>
      </c>
      <c r="L36" s="82">
        <f>'Total Population'!X13</f>
        <v>81014</v>
      </c>
      <c r="M36" s="82">
        <f>'Total Population'!AC13</f>
        <v>94597</v>
      </c>
      <c r="N36" s="82">
        <f>'Total Population'!AH13</f>
        <v>109400</v>
      </c>
    </row>
    <row r="37" spans="1:14" x14ac:dyDescent="0.3">
      <c r="A37" t="s">
        <v>22</v>
      </c>
      <c r="B37" t="s">
        <v>124</v>
      </c>
      <c r="H37">
        <f>H34</f>
        <v>44386</v>
      </c>
      <c r="I37" s="82">
        <f>'Total Population'!J13</f>
        <v>42918</v>
      </c>
      <c r="J37" s="82">
        <f>'Total Population'!O13</f>
        <v>38616</v>
      </c>
      <c r="K37" s="82">
        <f>'Total Population'!T13</f>
        <v>32345</v>
      </c>
      <c r="L37" s="82">
        <f>'Total Population'!Y13</f>
        <v>24486</v>
      </c>
      <c r="M37" s="82">
        <f>'Total Population'!AD13</f>
        <v>15261</v>
      </c>
      <c r="N37" s="82">
        <f>'Total Population'!AI13</f>
        <v>4816</v>
      </c>
    </row>
    <row r="38" spans="1:14" x14ac:dyDescent="0.3">
      <c r="A38" t="s">
        <v>48</v>
      </c>
      <c r="B38" t="s">
        <v>122</v>
      </c>
      <c r="C38">
        <f>'Total Population'!B14</f>
        <v>67974</v>
      </c>
      <c r="D38">
        <f>'Total Population'!C14</f>
        <v>64289</v>
      </c>
      <c r="E38">
        <f>'Total Population'!D14</f>
        <v>66135</v>
      </c>
      <c r="F38">
        <f>'Total Population'!E14</f>
        <v>66458</v>
      </c>
      <c r="G38">
        <f>'Total Population'!F14</f>
        <v>65363</v>
      </c>
      <c r="H38">
        <f>'Total Population'!G14</f>
        <v>65291</v>
      </c>
    </row>
    <row r="39" spans="1:14" x14ac:dyDescent="0.3">
      <c r="A39" t="s">
        <v>48</v>
      </c>
      <c r="B39" t="s">
        <v>123</v>
      </c>
      <c r="H39">
        <f>H38</f>
        <v>65291</v>
      </c>
      <c r="I39">
        <f>'Total Population'!H14</f>
        <v>65314</v>
      </c>
      <c r="J39">
        <f>'Total Population'!M14</f>
        <v>65160</v>
      </c>
      <c r="K39">
        <f>'Total Population'!R14</f>
        <v>65246</v>
      </c>
      <c r="L39">
        <f>'Total Population'!W14</f>
        <v>65059</v>
      </c>
      <c r="M39">
        <f>'Total Population'!AB14</f>
        <v>64732</v>
      </c>
      <c r="N39">
        <f>'Total Population'!AG14</f>
        <v>64405</v>
      </c>
    </row>
    <row r="40" spans="1:14" x14ac:dyDescent="0.3">
      <c r="A40" t="s">
        <v>48</v>
      </c>
      <c r="B40" t="s">
        <v>124</v>
      </c>
      <c r="H40">
        <f>H38</f>
        <v>65291</v>
      </c>
      <c r="I40" s="82">
        <f>'Total Population'!I14</f>
        <v>66329</v>
      </c>
      <c r="J40" s="82">
        <f>'Total Population'!N14</f>
        <v>66651</v>
      </c>
      <c r="K40" s="82">
        <f>'Total Population'!S14</f>
        <v>66806</v>
      </c>
      <c r="L40" s="82">
        <f>'Total Population'!X14</f>
        <v>66879</v>
      </c>
      <c r="M40" s="82">
        <f>'Total Population'!AC14</f>
        <v>66903</v>
      </c>
      <c r="N40" s="82">
        <f>'Total Population'!AH14</f>
        <v>66892</v>
      </c>
    </row>
    <row r="41" spans="1:14" x14ac:dyDescent="0.3">
      <c r="A41" t="s">
        <v>48</v>
      </c>
      <c r="B41" t="s">
        <v>124</v>
      </c>
      <c r="H41">
        <f>H38</f>
        <v>65291</v>
      </c>
      <c r="I41" s="82">
        <f>'Total Population'!J14</f>
        <v>63731</v>
      </c>
      <c r="J41" s="82">
        <f>'Total Population'!O14</f>
        <v>62754</v>
      </c>
      <c r="K41" s="82">
        <f>'Total Population'!T14</f>
        <v>61945</v>
      </c>
      <c r="L41" s="82">
        <f>'Total Population'!Y14</f>
        <v>61217</v>
      </c>
      <c r="M41" s="82">
        <f>'Total Population'!AD14</f>
        <v>60539</v>
      </c>
      <c r="N41" s="82">
        <f>'Total Population'!AI14</f>
        <v>59896</v>
      </c>
    </row>
    <row r="42" spans="1:14" x14ac:dyDescent="0.3">
      <c r="A42" t="s">
        <v>49</v>
      </c>
      <c r="B42" t="s">
        <v>122</v>
      </c>
      <c r="C42">
        <f>'Total Population'!B15</f>
        <v>26480</v>
      </c>
      <c r="D42">
        <f>'Total Population'!C15</f>
        <v>27784</v>
      </c>
      <c r="E42">
        <f>'Total Population'!D15</f>
        <v>31813</v>
      </c>
      <c r="F42">
        <f>'Total Population'!E15</f>
        <v>34790</v>
      </c>
      <c r="G42">
        <f>'Total Population'!F15</f>
        <v>34964</v>
      </c>
      <c r="H42">
        <f>'Total Population'!G15</f>
        <v>35151</v>
      </c>
    </row>
    <row r="43" spans="1:14" x14ac:dyDescent="0.3">
      <c r="A43" t="s">
        <v>49</v>
      </c>
      <c r="B43" t="s">
        <v>123</v>
      </c>
      <c r="H43">
        <f>H42</f>
        <v>35151</v>
      </c>
      <c r="I43">
        <f>'Total Population'!H15</f>
        <v>36425</v>
      </c>
      <c r="J43">
        <f>'Total Population'!M15</f>
        <v>37666</v>
      </c>
      <c r="K43">
        <f>'Total Population'!R15</f>
        <v>39338</v>
      </c>
      <c r="L43">
        <f>'Total Population'!W15</f>
        <v>40519</v>
      </c>
      <c r="M43">
        <f>'Total Population'!AB15</f>
        <v>41454</v>
      </c>
      <c r="N43">
        <f>'Total Population'!AG15</f>
        <v>42389</v>
      </c>
    </row>
    <row r="44" spans="1:14" x14ac:dyDescent="0.3">
      <c r="A44" t="s">
        <v>49</v>
      </c>
      <c r="B44" t="s">
        <v>124</v>
      </c>
      <c r="H44">
        <f>H42</f>
        <v>35151</v>
      </c>
      <c r="I44" s="82">
        <f>'Total Population'!I15</f>
        <v>37323</v>
      </c>
      <c r="J44" s="82">
        <f>'Total Population'!N15</f>
        <v>41222</v>
      </c>
      <c r="K44" s="82">
        <f>'Total Population'!S15</f>
        <v>46050</v>
      </c>
      <c r="L44" s="82">
        <f>'Total Population'!X15</f>
        <v>51621</v>
      </c>
      <c r="M44" s="82">
        <f>'Total Population'!AC15</f>
        <v>57832</v>
      </c>
      <c r="N44" s="82">
        <f>'Total Population'!AH15</f>
        <v>64613</v>
      </c>
    </row>
    <row r="45" spans="1:14" x14ac:dyDescent="0.3">
      <c r="A45" t="s">
        <v>49</v>
      </c>
      <c r="B45" t="s">
        <v>124</v>
      </c>
      <c r="H45">
        <f>H42</f>
        <v>35151</v>
      </c>
      <c r="I45" s="82">
        <f>'Total Population'!J15</f>
        <v>34476</v>
      </c>
      <c r="J45" s="82">
        <f>'Total Population'!O15</f>
        <v>32447</v>
      </c>
      <c r="K45" s="82">
        <f>'Total Population'!T15</f>
        <v>29489</v>
      </c>
      <c r="L45" s="82">
        <f>'Total Population'!Y15</f>
        <v>25788</v>
      </c>
      <c r="M45" s="82">
        <f>'Total Population'!AD15</f>
        <v>21447</v>
      </c>
      <c r="N45" s="82">
        <f>'Total Population'!AI15</f>
        <v>16536</v>
      </c>
    </row>
    <row r="46" spans="1:14" x14ac:dyDescent="0.3">
      <c r="A46" t="s">
        <v>50</v>
      </c>
      <c r="B46" t="s">
        <v>122</v>
      </c>
      <c r="C46">
        <f>'Total Population'!B16</f>
        <v>31032</v>
      </c>
      <c r="D46">
        <f>'Total Population'!C16</f>
        <v>31596</v>
      </c>
      <c r="E46">
        <f>'Total Population'!D16</f>
        <v>34099</v>
      </c>
      <c r="F46">
        <f>'Total Population'!E16</f>
        <v>36037</v>
      </c>
      <c r="G46">
        <f>'Total Population'!F16</f>
        <v>35439</v>
      </c>
      <c r="H46">
        <f>'Total Population'!G16</f>
        <v>35460</v>
      </c>
    </row>
    <row r="47" spans="1:14" x14ac:dyDescent="0.3">
      <c r="A47" t="s">
        <v>50</v>
      </c>
      <c r="B47" t="s">
        <v>123</v>
      </c>
      <c r="H47">
        <f>H46</f>
        <v>35460</v>
      </c>
      <c r="I47">
        <f>'Total Population'!H16</f>
        <v>36859</v>
      </c>
      <c r="J47">
        <f>'Total Population'!M16</f>
        <v>37415</v>
      </c>
      <c r="K47">
        <f>'Total Population'!R16</f>
        <v>38131</v>
      </c>
      <c r="L47">
        <f>'Total Population'!W16</f>
        <v>38662</v>
      </c>
      <c r="M47">
        <f>'Total Population'!AB16</f>
        <v>39102</v>
      </c>
      <c r="N47">
        <f>'Total Population'!AG16</f>
        <v>39542</v>
      </c>
    </row>
    <row r="48" spans="1:14" x14ac:dyDescent="0.3">
      <c r="A48" t="s">
        <v>50</v>
      </c>
      <c r="B48" t="s">
        <v>124</v>
      </c>
      <c r="H48">
        <f>H46</f>
        <v>35460</v>
      </c>
      <c r="I48" s="82">
        <f>'Total Population'!I16</f>
        <v>38560</v>
      </c>
      <c r="J48" s="82">
        <f>'Total Population'!N16</f>
        <v>41469</v>
      </c>
      <c r="K48" s="82">
        <f>'Total Population'!S16</f>
        <v>44979</v>
      </c>
      <c r="L48" s="82">
        <f>'Total Population'!X16</f>
        <v>48989</v>
      </c>
      <c r="M48" s="82">
        <f>'Total Population'!AC16</f>
        <v>53437</v>
      </c>
      <c r="N48" s="82">
        <f>'Total Population'!AH16</f>
        <v>58278</v>
      </c>
    </row>
    <row r="49" spans="1:14" x14ac:dyDescent="0.3">
      <c r="A49" t="s">
        <v>50</v>
      </c>
      <c r="B49" t="s">
        <v>124</v>
      </c>
      <c r="H49">
        <f>H46</f>
        <v>35460</v>
      </c>
      <c r="I49" s="82">
        <f>'Total Population'!J16</f>
        <v>34761</v>
      </c>
      <c r="J49" s="82">
        <f>'Total Population'!O16</f>
        <v>32732</v>
      </c>
      <c r="K49" s="82">
        <f>'Total Population'!T16</f>
        <v>30102</v>
      </c>
      <c r="L49" s="82">
        <f>'Total Population'!Y16</f>
        <v>26972</v>
      </c>
      <c r="M49" s="82">
        <f>'Total Population'!AD16</f>
        <v>23404</v>
      </c>
      <c r="N49" s="82">
        <f>'Total Population'!AI16</f>
        <v>19442</v>
      </c>
    </row>
    <row r="50" spans="1:14" x14ac:dyDescent="0.3">
      <c r="A50" t="s">
        <v>23</v>
      </c>
      <c r="B50" t="s">
        <v>122</v>
      </c>
      <c r="C50">
        <f>'Total Population'!B17</f>
        <v>43662</v>
      </c>
      <c r="D50">
        <f>'Total Population'!C17</f>
        <v>48257</v>
      </c>
      <c r="E50">
        <f>'Total Population'!D17</f>
        <v>52808</v>
      </c>
      <c r="F50">
        <f>'Total Population'!E17</f>
        <v>55740</v>
      </c>
      <c r="G50">
        <f>'Total Population'!F17</f>
        <v>58628</v>
      </c>
      <c r="H50">
        <f>'Total Population'!G17</f>
        <v>59333</v>
      </c>
    </row>
    <row r="51" spans="1:14" x14ac:dyDescent="0.3">
      <c r="A51" t="s">
        <v>23</v>
      </c>
      <c r="B51" t="s">
        <v>123</v>
      </c>
      <c r="H51">
        <f>H50</f>
        <v>59333</v>
      </c>
      <c r="I51">
        <f>'Total Population'!H17</f>
        <v>62355</v>
      </c>
      <c r="J51">
        <f>'Total Population'!M17</f>
        <v>65891</v>
      </c>
      <c r="K51">
        <f>'Total Population'!R17</f>
        <v>69716</v>
      </c>
      <c r="L51">
        <f>'Total Population'!W17</f>
        <v>73212</v>
      </c>
      <c r="M51">
        <f>'Total Population'!AB17</f>
        <v>76545</v>
      </c>
      <c r="N51">
        <f>'Total Population'!AG17</f>
        <v>79877</v>
      </c>
    </row>
    <row r="52" spans="1:14" x14ac:dyDescent="0.3">
      <c r="A52" t="s">
        <v>23</v>
      </c>
      <c r="B52" t="s">
        <v>124</v>
      </c>
      <c r="H52">
        <f>H50</f>
        <v>59333</v>
      </c>
      <c r="I52" s="82">
        <f>'Total Population'!I17</f>
        <v>66029</v>
      </c>
      <c r="J52" s="82">
        <f>'Total Population'!N17</f>
        <v>77450</v>
      </c>
      <c r="K52" s="82">
        <f>'Total Population'!S17</f>
        <v>91360</v>
      </c>
      <c r="L52" s="82">
        <f>'Total Population'!X17</f>
        <v>107272</v>
      </c>
      <c r="M52" s="82">
        <f>'Total Population'!AC17</f>
        <v>124906</v>
      </c>
      <c r="N52" s="82">
        <f>'Total Population'!AH17</f>
        <v>144076</v>
      </c>
    </row>
    <row r="53" spans="1:14" x14ac:dyDescent="0.3">
      <c r="A53" t="s">
        <v>23</v>
      </c>
      <c r="B53" t="s">
        <v>124</v>
      </c>
      <c r="H53">
        <f>H50</f>
        <v>59333</v>
      </c>
      <c r="I53" s="82">
        <f>'Total Population'!J17</f>
        <v>58005</v>
      </c>
      <c r="J53" s="82">
        <f>'Total Population'!O17</f>
        <v>53249</v>
      </c>
      <c r="K53" s="82">
        <f>'Total Population'!T17</f>
        <v>46004</v>
      </c>
      <c r="L53" s="82">
        <f>'Total Population'!Y17</f>
        <v>36758</v>
      </c>
      <c r="M53" s="82">
        <f>'Total Population'!AD17</f>
        <v>25789</v>
      </c>
      <c r="N53" s="82">
        <f>'Total Population'!AI17</f>
        <v>13285</v>
      </c>
    </row>
    <row r="54" spans="1:14" x14ac:dyDescent="0.3">
      <c r="A54" t="s">
        <v>51</v>
      </c>
      <c r="B54" t="s">
        <v>122</v>
      </c>
      <c r="C54">
        <f>'Total Population'!B18</f>
        <v>65004</v>
      </c>
      <c r="D54">
        <f>'Total Population'!C18</f>
        <v>69401</v>
      </c>
      <c r="E54">
        <f>'Total Population'!D18</f>
        <v>73507</v>
      </c>
      <c r="F54">
        <f>'Total Population'!E18</f>
        <v>78098</v>
      </c>
      <c r="G54">
        <f>'Total Population'!F18</f>
        <v>76985</v>
      </c>
      <c r="H54">
        <f>'Total Population'!G18</f>
        <v>76891</v>
      </c>
    </row>
    <row r="55" spans="1:14" x14ac:dyDescent="0.3">
      <c r="A55" t="s">
        <v>51</v>
      </c>
      <c r="B55" t="s">
        <v>123</v>
      </c>
      <c r="H55">
        <f>H54</f>
        <v>76891</v>
      </c>
      <c r="I55">
        <f>'Total Population'!H18</f>
        <v>76590</v>
      </c>
      <c r="J55">
        <f>'Total Population'!M18</f>
        <v>76204</v>
      </c>
      <c r="K55">
        <f>'Total Population'!R18</f>
        <v>75876</v>
      </c>
      <c r="L55">
        <f>'Total Population'!W18</f>
        <v>75478</v>
      </c>
      <c r="M55">
        <f>'Total Population'!AB18</f>
        <v>75040</v>
      </c>
      <c r="N55">
        <f>'Total Population'!AG18</f>
        <v>74602</v>
      </c>
    </row>
    <row r="56" spans="1:14" x14ac:dyDescent="0.3">
      <c r="A56" t="s">
        <v>51</v>
      </c>
      <c r="B56" t="s">
        <v>124</v>
      </c>
      <c r="H56">
        <f>H54</f>
        <v>76891</v>
      </c>
      <c r="I56" s="82">
        <f>'Total Population'!I18</f>
        <v>79695</v>
      </c>
      <c r="J56" s="82">
        <f>'Total Population'!N18</f>
        <v>85847</v>
      </c>
      <c r="K56" s="82">
        <f>'Total Population'!S18</f>
        <v>94070</v>
      </c>
      <c r="L56" s="82">
        <f>'Total Population'!X18</f>
        <v>103952</v>
      </c>
      <c r="M56" s="82">
        <f>'Total Population'!AC18</f>
        <v>115258</v>
      </c>
      <c r="N56" s="82">
        <f>'Total Population'!AH18</f>
        <v>127833</v>
      </c>
    </row>
    <row r="57" spans="1:14" x14ac:dyDescent="0.3">
      <c r="A57" t="s">
        <v>51</v>
      </c>
      <c r="B57" t="s">
        <v>124</v>
      </c>
      <c r="H57">
        <f>H54</f>
        <v>76891</v>
      </c>
      <c r="I57" s="82">
        <f>'Total Population'!J18</f>
        <v>73390</v>
      </c>
      <c r="J57" s="82">
        <f>'Total Population'!O18</f>
        <v>66369</v>
      </c>
      <c r="K57" s="82">
        <f>'Total Population'!T18</f>
        <v>57266</v>
      </c>
      <c r="L57" s="82">
        <f>'Total Population'!Y18</f>
        <v>46512</v>
      </c>
      <c r="M57" s="82">
        <f>'Total Population'!AD18</f>
        <v>34330</v>
      </c>
      <c r="N57" s="82">
        <f>'Total Population'!AI18</f>
        <v>20880</v>
      </c>
    </row>
    <row r="58" spans="1:14" x14ac:dyDescent="0.3">
      <c r="A58" t="s">
        <v>24</v>
      </c>
      <c r="B58" t="s">
        <v>122</v>
      </c>
      <c r="C58">
        <f>'Total Population'!B19</f>
        <v>29536</v>
      </c>
      <c r="D58">
        <f>'Total Population'!C19</f>
        <v>32010</v>
      </c>
      <c r="E58">
        <f>'Total Population'!D19</f>
        <v>41338</v>
      </c>
      <c r="F58">
        <f>'Total Population'!E19</f>
        <v>52464</v>
      </c>
      <c r="G58">
        <f>'Total Population'!F19</f>
        <v>63077</v>
      </c>
      <c r="H58">
        <f>'Total Population'!G19</f>
        <v>64971</v>
      </c>
    </row>
    <row r="59" spans="1:14" x14ac:dyDescent="0.3">
      <c r="A59" t="s">
        <v>24</v>
      </c>
      <c r="B59" t="s">
        <v>123</v>
      </c>
      <c r="H59">
        <f>H58</f>
        <v>64971</v>
      </c>
      <c r="I59">
        <f>'Total Population'!H19</f>
        <v>66408</v>
      </c>
      <c r="J59">
        <f>'Total Population'!M19</f>
        <v>72505</v>
      </c>
      <c r="K59">
        <f>'Total Population'!R19</f>
        <v>78933</v>
      </c>
      <c r="L59">
        <f>'Total Population'!W19</f>
        <v>84983</v>
      </c>
      <c r="M59">
        <f>'Total Population'!AB19</f>
        <v>90844</v>
      </c>
      <c r="N59">
        <f>'Total Population'!AG19</f>
        <v>96705</v>
      </c>
    </row>
    <row r="60" spans="1:14" x14ac:dyDescent="0.3">
      <c r="A60" t="s">
        <v>24</v>
      </c>
      <c r="B60" t="s">
        <v>124</v>
      </c>
      <c r="H60">
        <f>H58</f>
        <v>64971</v>
      </c>
      <c r="I60" s="82">
        <f>'Total Population'!I19</f>
        <v>69664</v>
      </c>
      <c r="J60" s="82">
        <f>'Total Population'!N19</f>
        <v>80350</v>
      </c>
      <c r="K60" s="82">
        <f>'Total Population'!S19</f>
        <v>92220</v>
      </c>
      <c r="L60" s="82">
        <f>'Total Population'!X19</f>
        <v>105075</v>
      </c>
      <c r="M60" s="82">
        <f>'Total Population'!AC19</f>
        <v>118792</v>
      </c>
      <c r="N60" s="82">
        <f>'Total Population'!AH19</f>
        <v>133284</v>
      </c>
    </row>
    <row r="61" spans="1:14" x14ac:dyDescent="0.3">
      <c r="A61" t="s">
        <v>24</v>
      </c>
      <c r="B61" t="s">
        <v>124</v>
      </c>
      <c r="H61">
        <f>H58</f>
        <v>64971</v>
      </c>
      <c r="I61" s="82">
        <f>'Total Population'!J19</f>
        <v>62368</v>
      </c>
      <c r="J61" s="82">
        <f>'Total Population'!O19</f>
        <v>63404</v>
      </c>
      <c r="K61" s="82">
        <f>'Total Population'!T19</f>
        <v>63255</v>
      </c>
      <c r="L61" s="82">
        <f>'Total Population'!Y19</f>
        <v>62122</v>
      </c>
      <c r="M61" s="82">
        <f>'Total Population'!AD19</f>
        <v>60127</v>
      </c>
      <c r="N61" s="82">
        <f>'Total Population'!AI19</f>
        <v>57356</v>
      </c>
    </row>
    <row r="62" spans="1:14" x14ac:dyDescent="0.3">
      <c r="A62" t="s">
        <v>86</v>
      </c>
      <c r="B62" t="s">
        <v>122</v>
      </c>
      <c r="C62">
        <f>'Total Population'!B20</f>
        <v>1571547</v>
      </c>
      <c r="D62">
        <f>'Total Population'!C20</f>
        <v>1719508</v>
      </c>
      <c r="E62">
        <f>'Total Population'!D20</f>
        <v>1950805</v>
      </c>
      <c r="F62">
        <f>'Total Population'!E20</f>
        <v>2186769</v>
      </c>
      <c r="G62">
        <f>'Total Population'!F20</f>
        <v>2421159</v>
      </c>
      <c r="H62">
        <f>'Total Population'!G20</f>
        <v>2431037</v>
      </c>
    </row>
    <row r="63" spans="1:14" x14ac:dyDescent="0.3">
      <c r="A63" t="s">
        <v>86</v>
      </c>
      <c r="B63" t="s">
        <v>123</v>
      </c>
      <c r="H63">
        <f>H62</f>
        <v>2431037</v>
      </c>
      <c r="I63">
        <f>'Total Population'!H20</f>
        <v>2555315</v>
      </c>
      <c r="J63">
        <f>'Total Population'!M20</f>
        <v>2676926</v>
      </c>
      <c r="K63">
        <f>'Total Population'!R20</f>
        <v>2827180</v>
      </c>
      <c r="L63">
        <f>'Total Population'!W20</f>
        <v>2944699</v>
      </c>
      <c r="M63">
        <f>'Total Population'!AB20</f>
        <v>3045854</v>
      </c>
      <c r="N63">
        <f>'Total Population'!AG20</f>
        <v>3147011</v>
      </c>
    </row>
    <row r="64" spans="1:14" x14ac:dyDescent="0.3">
      <c r="A64" t="s">
        <v>86</v>
      </c>
      <c r="B64" t="s">
        <v>124</v>
      </c>
      <c r="H64">
        <f>H62</f>
        <v>2431037</v>
      </c>
      <c r="I64" s="82">
        <f>'Total Population'!I20</f>
        <v>2597188</v>
      </c>
      <c r="J64" s="82">
        <f>'Total Population'!N20</f>
        <v>2816613</v>
      </c>
      <c r="K64" s="82">
        <f>'Total Population'!S20</f>
        <v>3068141</v>
      </c>
      <c r="L64" s="82">
        <f>'Total Population'!X20</f>
        <v>3345949</v>
      </c>
      <c r="M64" s="82">
        <f>'Total Population'!AC20</f>
        <v>3646586</v>
      </c>
      <c r="N64" s="82">
        <f>'Total Population'!AH20</f>
        <v>3967683</v>
      </c>
    </row>
    <row r="65" spans="1:14" x14ac:dyDescent="0.3">
      <c r="A65" t="s">
        <v>86</v>
      </c>
      <c r="B65" t="s">
        <v>124</v>
      </c>
      <c r="H65">
        <f>H62</f>
        <v>2431037</v>
      </c>
      <c r="I65" s="82">
        <f>'Total Population'!J20</f>
        <v>2445231</v>
      </c>
      <c r="J65" s="82">
        <f>'Total Population'!O20</f>
        <v>2428110</v>
      </c>
      <c r="K65" s="82">
        <f>'Total Population'!T20</f>
        <v>2378893</v>
      </c>
      <c r="L65" s="82">
        <f>'Total Population'!Y20</f>
        <v>2303397</v>
      </c>
      <c r="M65" s="82">
        <f>'Total Population'!AD20</f>
        <v>2205068</v>
      </c>
      <c r="N65" s="82">
        <f>'Total Population'!AI20</f>
        <v>2086279</v>
      </c>
    </row>
    <row r="66" spans="1:14" x14ac:dyDescent="0.3">
      <c r="I66" s="82"/>
      <c r="J66" s="82"/>
      <c r="K66" s="82"/>
      <c r="L66" s="82"/>
      <c r="M66" s="82"/>
      <c r="N66" s="82"/>
    </row>
    <row r="67" spans="1:14" x14ac:dyDescent="0.3">
      <c r="I67" s="82"/>
      <c r="J67" s="82"/>
      <c r="K67" s="82"/>
      <c r="L67" s="82"/>
      <c r="M67" s="82"/>
      <c r="N67" s="82"/>
    </row>
    <row r="68" spans="1:14" x14ac:dyDescent="0.3">
      <c r="I68" s="82"/>
      <c r="J68" s="82"/>
      <c r="K68" s="82"/>
      <c r="L68" s="82"/>
      <c r="M68" s="82"/>
      <c r="N68" s="82"/>
    </row>
    <row r="69" spans="1:14" x14ac:dyDescent="0.3">
      <c r="I69" s="82"/>
      <c r="J69" s="82"/>
      <c r="K69" s="82"/>
      <c r="L69" s="82"/>
      <c r="M69" s="82"/>
      <c r="N69" s="82"/>
    </row>
    <row r="75" spans="1:14" x14ac:dyDescent="0.3">
      <c r="I75" s="82"/>
      <c r="J75" s="82"/>
      <c r="K75" s="82"/>
      <c r="L75" s="82"/>
      <c r="M75" s="82"/>
      <c r="N75" s="82"/>
    </row>
    <row r="76" spans="1:14" x14ac:dyDescent="0.3">
      <c r="I76" s="82"/>
      <c r="J76" s="82"/>
      <c r="K76" s="82"/>
      <c r="L76" s="82"/>
      <c r="M76" s="82"/>
      <c r="N76" s="82"/>
    </row>
  </sheetData>
  <sortState xmlns:xlrd2="http://schemas.microsoft.com/office/spreadsheetml/2017/richdata2" ref="A2:N61">
    <sortCondition ref="A2:A61"/>
  </sortState>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E79D9-019A-4D14-A75D-15915E99D51D}">
  <dimension ref="A1:C4"/>
  <sheetViews>
    <sheetView workbookViewId="0">
      <selection activeCell="A2" sqref="A2"/>
    </sheetView>
  </sheetViews>
  <sheetFormatPr defaultRowHeight="14.4" x14ac:dyDescent="0.3"/>
  <cols>
    <col min="1" max="1" width="9.6640625" style="84" bestFit="1" customWidth="1"/>
    <col min="2" max="2" width="28.21875" style="84" customWidth="1"/>
    <col min="3" max="3" width="139.109375" style="85" customWidth="1"/>
  </cols>
  <sheetData>
    <row r="1" spans="1:3" s="86" customFormat="1" x14ac:dyDescent="0.3">
      <c r="A1" s="86" t="s">
        <v>138</v>
      </c>
      <c r="B1" s="86" t="s">
        <v>140</v>
      </c>
      <c r="C1" s="87" t="s">
        <v>139</v>
      </c>
    </row>
    <row r="2" spans="1:3" ht="57.6" x14ac:dyDescent="0.3">
      <c r="A2" s="83">
        <v>45044</v>
      </c>
      <c r="B2" s="84" t="s">
        <v>141</v>
      </c>
      <c r="C2" s="85" t="s">
        <v>143</v>
      </c>
    </row>
    <row r="3" spans="1:3" x14ac:dyDescent="0.3">
      <c r="A3" s="83">
        <v>45057</v>
      </c>
      <c r="B3" s="83" t="s">
        <v>141</v>
      </c>
      <c r="C3" s="85" t="s">
        <v>142</v>
      </c>
    </row>
    <row r="4" spans="1:3" ht="28.8" x14ac:dyDescent="0.3">
      <c r="A4" s="83">
        <v>45058</v>
      </c>
      <c r="B4" s="85" t="s">
        <v>145</v>
      </c>
      <c r="C4" s="85" t="s">
        <v>148</v>
      </c>
    </row>
  </sheetData>
  <pageMargins left="0.7" right="0.7" top="0.75" bottom="0.75" header="0.3" footer="0.3"/>
  <pageSetup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EF65C12-2485-4EA2-BCA0-6F4A4C61ECC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Total Population</vt:lpstr>
      <vt:lpstr>Population Charts</vt:lpstr>
      <vt:lpstr>Population by Age</vt:lpstr>
      <vt:lpstr>Group Quarters and Households</vt:lpstr>
      <vt:lpstr>Household Population by Age</vt:lpstr>
      <vt:lpstr>Households and Housing Units</vt:lpstr>
      <vt:lpstr>Residential Labor Force</vt:lpstr>
      <vt:lpstr>Jobs</vt:lpstr>
      <vt:lpstr>All Data (Unformatted)</vt:lpstr>
      <vt:lpstr>Variable Dictionary</vt:lpstr>
      <vt:lpstr>Population Chart Data</vt:lpstr>
      <vt:lpstr>Revision History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 Whelan</dc:creator>
  <cp:lastModifiedBy>Adam Porr</cp:lastModifiedBy>
  <dcterms:created xsi:type="dcterms:W3CDTF">2019-02-11T21:52:42Z</dcterms:created>
  <dcterms:modified xsi:type="dcterms:W3CDTF">2023-05-30T02:16:43Z</dcterms:modified>
</cp:coreProperties>
</file>