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254" documentId="13_ncr:1_{FEDAB63D-10CA-4599-8BA6-3BB53647E261}" xr6:coauthVersionLast="47" xr6:coauthVersionMax="47" xr10:uidLastSave="{2EBA8A05-75F9-420F-A2EA-67A17BB7B058}"/>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externalReferences>
    <externalReference r:id="rId13"/>
    <externalReference r:id="rId14"/>
    <externalReference r:id="rId15"/>
    <externalReference r:id="rId16"/>
    <externalReference r:id="rId17"/>
  </externalReference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9" i="7" l="1"/>
  <c r="G39" i="7"/>
  <c r="F39" i="7"/>
  <c r="E39" i="7"/>
  <c r="D39" i="7"/>
  <c r="C39" i="7"/>
  <c r="B39" i="7"/>
  <c r="H38" i="7"/>
  <c r="G38" i="7"/>
  <c r="F38" i="7"/>
  <c r="E38" i="7"/>
  <c r="D38" i="7"/>
  <c r="C38" i="7"/>
  <c r="B38" i="7"/>
  <c r="H37" i="7"/>
  <c r="G37" i="7"/>
  <c r="F37" i="7"/>
  <c r="E37" i="7"/>
  <c r="D37" i="7"/>
  <c r="C37" i="7"/>
  <c r="B37" i="7"/>
  <c r="H36" i="7"/>
  <c r="G36" i="7"/>
  <c r="F36" i="7"/>
  <c r="E36" i="7"/>
  <c r="D36" i="7"/>
  <c r="C36" i="7"/>
  <c r="B36" i="7"/>
  <c r="H35" i="7"/>
  <c r="G35" i="7"/>
  <c r="F35" i="7"/>
  <c r="E35" i="7"/>
  <c r="D35" i="7"/>
  <c r="C35" i="7"/>
  <c r="B35" i="7"/>
  <c r="H34" i="7"/>
  <c r="G34" i="7"/>
  <c r="F34" i="7"/>
  <c r="E34" i="7"/>
  <c r="D34" i="7"/>
  <c r="C34" i="7"/>
  <c r="B34" i="7"/>
  <c r="H33" i="7"/>
  <c r="G33" i="7"/>
  <c r="F33" i="7"/>
  <c r="E33" i="7"/>
  <c r="D33" i="7"/>
  <c r="C33" i="7"/>
  <c r="B33" i="7"/>
  <c r="H32" i="7"/>
  <c r="G32" i="7"/>
  <c r="F32" i="7"/>
  <c r="E32" i="7"/>
  <c r="D32" i="7"/>
  <c r="C32" i="7"/>
  <c r="B32" i="7"/>
  <c r="H31" i="7"/>
  <c r="G31" i="7"/>
  <c r="F31" i="7"/>
  <c r="E31" i="7"/>
  <c r="D31" i="7"/>
  <c r="C31" i="7"/>
  <c r="B31" i="7"/>
  <c r="H30" i="7"/>
  <c r="G30" i="7"/>
  <c r="F30" i="7"/>
  <c r="E30" i="7"/>
  <c r="D30" i="7"/>
  <c r="C30" i="7"/>
  <c r="B30" i="7"/>
  <c r="H29" i="7"/>
  <c r="G29" i="7"/>
  <c r="F29" i="7"/>
  <c r="E29" i="7"/>
  <c r="D29" i="7"/>
  <c r="C29" i="7"/>
  <c r="B29" i="7"/>
  <c r="H28" i="7"/>
  <c r="G28" i="7"/>
  <c r="F28" i="7"/>
  <c r="E28" i="7"/>
  <c r="D28" i="7"/>
  <c r="C28" i="7"/>
  <c r="B28" i="7"/>
  <c r="H27" i="7"/>
  <c r="G27" i="7"/>
  <c r="F27" i="7"/>
  <c r="E27" i="7"/>
  <c r="D27" i="7"/>
  <c r="C27" i="7"/>
  <c r="B27" i="7"/>
  <c r="H26" i="7"/>
  <c r="G26" i="7"/>
  <c r="F26" i="7"/>
  <c r="E26" i="7"/>
  <c r="D26" i="7"/>
  <c r="C26" i="7"/>
  <c r="B26" i="7"/>
  <c r="H25" i="7"/>
  <c r="G25" i="7"/>
  <c r="F25" i="7"/>
  <c r="E25" i="7"/>
  <c r="D25" i="7"/>
  <c r="C25" i="7"/>
  <c r="B25" i="7"/>
  <c r="H19" i="7"/>
  <c r="G19" i="7"/>
  <c r="F19" i="7"/>
  <c r="E19" i="7"/>
  <c r="D19" i="7"/>
  <c r="C19" i="7"/>
  <c r="B19" i="7"/>
  <c r="H18" i="7"/>
  <c r="G18" i="7"/>
  <c r="F18" i="7"/>
  <c r="E18" i="7"/>
  <c r="D18" i="7"/>
  <c r="C18" i="7"/>
  <c r="B18" i="7"/>
  <c r="H17" i="7"/>
  <c r="G17" i="7"/>
  <c r="F17" i="7"/>
  <c r="E17" i="7"/>
  <c r="D17" i="7"/>
  <c r="C17" i="7"/>
  <c r="B17" i="7"/>
  <c r="H16" i="7"/>
  <c r="G16" i="7"/>
  <c r="F16" i="7"/>
  <c r="E16" i="7"/>
  <c r="D16" i="7"/>
  <c r="C16" i="7"/>
  <c r="B16" i="7"/>
  <c r="H15" i="7"/>
  <c r="G15" i="7"/>
  <c r="F15" i="7"/>
  <c r="E15" i="7"/>
  <c r="D15" i="7"/>
  <c r="C15" i="7"/>
  <c r="B15" i="7"/>
  <c r="H14" i="7"/>
  <c r="G14" i="7"/>
  <c r="F14" i="7"/>
  <c r="E14" i="7"/>
  <c r="D14" i="7"/>
  <c r="C14" i="7"/>
  <c r="B14" i="7"/>
  <c r="H13" i="7"/>
  <c r="G13" i="7"/>
  <c r="F13" i="7"/>
  <c r="E13" i="7"/>
  <c r="D13" i="7"/>
  <c r="C13" i="7"/>
  <c r="B13" i="7"/>
  <c r="H12" i="7"/>
  <c r="G12" i="7"/>
  <c r="F12" i="7"/>
  <c r="E12" i="7"/>
  <c r="D12" i="7"/>
  <c r="C12" i="7"/>
  <c r="B12" i="7"/>
  <c r="H11" i="7"/>
  <c r="G11" i="7"/>
  <c r="F11" i="7"/>
  <c r="E11" i="7"/>
  <c r="D11" i="7"/>
  <c r="C11" i="7"/>
  <c r="B11" i="7"/>
  <c r="H10" i="7"/>
  <c r="G10" i="7"/>
  <c r="F10" i="7"/>
  <c r="E10" i="7"/>
  <c r="D10" i="7"/>
  <c r="C10" i="7"/>
  <c r="B10" i="7"/>
  <c r="H9" i="7"/>
  <c r="G9" i="7"/>
  <c r="F9" i="7"/>
  <c r="E9" i="7"/>
  <c r="D9" i="7"/>
  <c r="C9" i="7"/>
  <c r="B9" i="7"/>
  <c r="H8" i="7"/>
  <c r="G8" i="7"/>
  <c r="F8" i="7"/>
  <c r="E8" i="7"/>
  <c r="D8" i="7"/>
  <c r="C8" i="7"/>
  <c r="B8" i="7"/>
  <c r="H7" i="7"/>
  <c r="G7" i="7"/>
  <c r="F7" i="7"/>
  <c r="E7" i="7"/>
  <c r="D7" i="7"/>
  <c r="C7" i="7"/>
  <c r="B7" i="7"/>
  <c r="H6" i="7"/>
  <c r="G6" i="7"/>
  <c r="F6" i="7"/>
  <c r="E6" i="7"/>
  <c r="D6" i="7"/>
  <c r="C6" i="7"/>
  <c r="B6" i="7"/>
  <c r="H5" i="7"/>
  <c r="G5" i="7"/>
  <c r="F5" i="7"/>
  <c r="E5" i="7"/>
  <c r="D5" i="7"/>
  <c r="C5" i="7"/>
  <c r="B5" i="7"/>
  <c r="H59" i="11" l="1"/>
  <c r="G59" i="11"/>
  <c r="F59" i="11"/>
  <c r="E59" i="11"/>
  <c r="D59" i="11"/>
  <c r="C59" i="11"/>
  <c r="B59" i="11"/>
  <c r="H58" i="11"/>
  <c r="G58" i="11"/>
  <c r="F58" i="11"/>
  <c r="E58" i="11"/>
  <c r="D58" i="11"/>
  <c r="C58" i="11"/>
  <c r="B58" i="11"/>
  <c r="H57" i="11"/>
  <c r="G57" i="11"/>
  <c r="F57" i="11"/>
  <c r="E57" i="11"/>
  <c r="D57" i="11"/>
  <c r="C57" i="11"/>
  <c r="B57" i="11"/>
  <c r="H56" i="11"/>
  <c r="G56" i="11"/>
  <c r="F56" i="11"/>
  <c r="E56" i="11"/>
  <c r="D56" i="11"/>
  <c r="C56" i="11"/>
  <c r="B56" i="11"/>
  <c r="H55" i="11"/>
  <c r="G55" i="11"/>
  <c r="F55" i="11"/>
  <c r="E55" i="11"/>
  <c r="D55" i="11"/>
  <c r="C55" i="11"/>
  <c r="B55" i="11"/>
  <c r="H54" i="11"/>
  <c r="G54" i="11"/>
  <c r="F54" i="11"/>
  <c r="E54" i="11"/>
  <c r="D54" i="11"/>
  <c r="C54" i="11"/>
  <c r="B54" i="11"/>
  <c r="H53" i="11"/>
  <c r="G53" i="11"/>
  <c r="F53" i="11"/>
  <c r="E53" i="11"/>
  <c r="D53" i="11"/>
  <c r="C53" i="11"/>
  <c r="B53" i="11"/>
  <c r="H52" i="11"/>
  <c r="G52" i="11"/>
  <c r="F52" i="11"/>
  <c r="E52" i="11"/>
  <c r="D52" i="11"/>
  <c r="C52" i="11"/>
  <c r="B52" i="11"/>
  <c r="H51" i="11"/>
  <c r="G51" i="11"/>
  <c r="F51" i="11"/>
  <c r="E51" i="11"/>
  <c r="D51" i="11"/>
  <c r="C51" i="11"/>
  <c r="B51" i="11"/>
  <c r="H50" i="11"/>
  <c r="G50" i="11"/>
  <c r="F50" i="11"/>
  <c r="E50" i="11"/>
  <c r="D50" i="11"/>
  <c r="C50" i="11"/>
  <c r="B50" i="11"/>
  <c r="H49" i="11"/>
  <c r="G49" i="11"/>
  <c r="F49" i="11"/>
  <c r="E49" i="11"/>
  <c r="D49" i="11"/>
  <c r="C49" i="11"/>
  <c r="B49" i="11"/>
  <c r="H48" i="11"/>
  <c r="G48" i="11"/>
  <c r="F48" i="11"/>
  <c r="E48" i="11"/>
  <c r="D48" i="11"/>
  <c r="C48" i="11"/>
  <c r="B48" i="11"/>
  <c r="H47" i="11"/>
  <c r="G47" i="11"/>
  <c r="F47" i="11"/>
  <c r="E47" i="11"/>
  <c r="D47" i="11"/>
  <c r="C47" i="11"/>
  <c r="B47" i="11"/>
  <c r="H46" i="11"/>
  <c r="G46" i="11"/>
  <c r="F46" i="11"/>
  <c r="E46" i="11"/>
  <c r="D46" i="11"/>
  <c r="C46" i="11"/>
  <c r="B46" i="11"/>
  <c r="H45" i="11"/>
  <c r="G45" i="11"/>
  <c r="F45" i="11"/>
  <c r="E45" i="11"/>
  <c r="D45" i="11"/>
  <c r="C45" i="11"/>
  <c r="B45" i="11"/>
  <c r="H39" i="11"/>
  <c r="G39" i="11"/>
  <c r="F39" i="11"/>
  <c r="E39" i="11"/>
  <c r="D39" i="11"/>
  <c r="C39" i="11"/>
  <c r="B39" i="11"/>
  <c r="H38" i="11"/>
  <c r="G38" i="11"/>
  <c r="F38" i="11"/>
  <c r="E38" i="11"/>
  <c r="D38" i="11"/>
  <c r="C38" i="11"/>
  <c r="B38" i="11"/>
  <c r="H37" i="11"/>
  <c r="G37" i="11"/>
  <c r="F37" i="11"/>
  <c r="E37" i="11"/>
  <c r="D37" i="11"/>
  <c r="C37" i="11"/>
  <c r="B37" i="11"/>
  <c r="H36" i="11"/>
  <c r="G36" i="11"/>
  <c r="F36" i="11"/>
  <c r="E36" i="11"/>
  <c r="D36" i="11"/>
  <c r="C36" i="11"/>
  <c r="B36" i="11"/>
  <c r="H35" i="11"/>
  <c r="G35" i="11"/>
  <c r="F35" i="11"/>
  <c r="E35" i="11"/>
  <c r="D35" i="11"/>
  <c r="C35" i="11"/>
  <c r="B35" i="11"/>
  <c r="H34" i="11"/>
  <c r="G34" i="11"/>
  <c r="F34" i="11"/>
  <c r="E34" i="11"/>
  <c r="D34" i="11"/>
  <c r="C34" i="11"/>
  <c r="B34" i="11"/>
  <c r="H33" i="11"/>
  <c r="G33" i="11"/>
  <c r="F33" i="11"/>
  <c r="E33" i="11"/>
  <c r="D33" i="11"/>
  <c r="C33" i="11"/>
  <c r="B33" i="11"/>
  <c r="H32" i="11"/>
  <c r="G32" i="11"/>
  <c r="F32" i="11"/>
  <c r="E32" i="11"/>
  <c r="D32" i="11"/>
  <c r="C32" i="11"/>
  <c r="B32" i="11"/>
  <c r="H31" i="11"/>
  <c r="G31" i="11"/>
  <c r="F31" i="11"/>
  <c r="E31" i="11"/>
  <c r="D31" i="11"/>
  <c r="C31" i="11"/>
  <c r="B31" i="11"/>
  <c r="H30" i="11"/>
  <c r="G30" i="11"/>
  <c r="F30" i="11"/>
  <c r="E30" i="11"/>
  <c r="D30" i="11"/>
  <c r="C30" i="11"/>
  <c r="B30" i="11"/>
  <c r="H29" i="11"/>
  <c r="G29" i="11"/>
  <c r="F29" i="11"/>
  <c r="E29" i="11"/>
  <c r="D29" i="11"/>
  <c r="C29" i="11"/>
  <c r="B29" i="11"/>
  <c r="H28" i="11"/>
  <c r="G28" i="11"/>
  <c r="F28" i="11"/>
  <c r="E28" i="11"/>
  <c r="D28" i="11"/>
  <c r="C28" i="11"/>
  <c r="B28" i="11"/>
  <c r="H27" i="11"/>
  <c r="G27" i="11"/>
  <c r="F27" i="11"/>
  <c r="E27" i="11"/>
  <c r="D27" i="11"/>
  <c r="C27" i="11"/>
  <c r="B27" i="11"/>
  <c r="H26" i="11"/>
  <c r="G26" i="11"/>
  <c r="F26" i="11"/>
  <c r="E26" i="11"/>
  <c r="D26" i="11"/>
  <c r="C26" i="11"/>
  <c r="B26" i="11"/>
  <c r="H25" i="11"/>
  <c r="G25" i="11"/>
  <c r="F25" i="11"/>
  <c r="E25" i="11"/>
  <c r="D25" i="11"/>
  <c r="C25" i="11"/>
  <c r="B25" i="11"/>
  <c r="H19" i="11"/>
  <c r="G19" i="11"/>
  <c r="F19" i="11"/>
  <c r="E19" i="11"/>
  <c r="D19" i="11"/>
  <c r="C19" i="11"/>
  <c r="B19" i="11"/>
  <c r="H18" i="11"/>
  <c r="G18" i="11"/>
  <c r="F18" i="11"/>
  <c r="E18" i="11"/>
  <c r="D18" i="11"/>
  <c r="C18" i="11"/>
  <c r="B18" i="11"/>
  <c r="H17" i="11"/>
  <c r="G17" i="11"/>
  <c r="F17" i="11"/>
  <c r="E17" i="11"/>
  <c r="D17" i="11"/>
  <c r="C17" i="11"/>
  <c r="B17" i="11"/>
  <c r="H16" i="11"/>
  <c r="G16" i="11"/>
  <c r="F16" i="11"/>
  <c r="E16" i="11"/>
  <c r="D16" i="11"/>
  <c r="C16" i="11"/>
  <c r="B16" i="11"/>
  <c r="H15" i="11"/>
  <c r="G15" i="11"/>
  <c r="F15" i="11"/>
  <c r="E15" i="11"/>
  <c r="D15" i="11"/>
  <c r="C15" i="11"/>
  <c r="B15" i="11"/>
  <c r="H14" i="11"/>
  <c r="G14" i="11"/>
  <c r="F14" i="11"/>
  <c r="E14" i="11"/>
  <c r="D14" i="11"/>
  <c r="C14" i="11"/>
  <c r="B14" i="11"/>
  <c r="H13" i="11"/>
  <c r="G13" i="11"/>
  <c r="F13" i="11"/>
  <c r="E13" i="11"/>
  <c r="D13" i="11"/>
  <c r="C13" i="11"/>
  <c r="B13" i="11"/>
  <c r="H12" i="11"/>
  <c r="G12" i="11"/>
  <c r="F12" i="11"/>
  <c r="E12" i="11"/>
  <c r="D12" i="11"/>
  <c r="C12" i="11"/>
  <c r="B12" i="11"/>
  <c r="H11" i="11"/>
  <c r="G11" i="11"/>
  <c r="F11" i="11"/>
  <c r="E11" i="11"/>
  <c r="D11" i="11"/>
  <c r="C11" i="11"/>
  <c r="B11" i="11"/>
  <c r="H10" i="11"/>
  <c r="G10" i="11"/>
  <c r="F10" i="11"/>
  <c r="E10" i="11"/>
  <c r="D10" i="11"/>
  <c r="C10" i="11"/>
  <c r="B10" i="11"/>
  <c r="H9" i="11"/>
  <c r="G9" i="11"/>
  <c r="F9" i="11"/>
  <c r="E9" i="11"/>
  <c r="D9" i="11"/>
  <c r="C9" i="11"/>
  <c r="B9" i="11"/>
  <c r="H8" i="11"/>
  <c r="G8" i="11"/>
  <c r="F8" i="11"/>
  <c r="E8" i="11"/>
  <c r="D8" i="11"/>
  <c r="C8" i="11"/>
  <c r="B8" i="11"/>
  <c r="H7" i="11"/>
  <c r="G7" i="11"/>
  <c r="F7" i="11"/>
  <c r="E7" i="11"/>
  <c r="D7" i="11"/>
  <c r="C7" i="11"/>
  <c r="B7" i="11"/>
  <c r="H6" i="11"/>
  <c r="G6" i="11"/>
  <c r="F6" i="11"/>
  <c r="E6" i="11"/>
  <c r="D6" i="11"/>
  <c r="C6" i="11"/>
  <c r="B6" i="11"/>
  <c r="H5" i="11"/>
  <c r="G5" i="11"/>
  <c r="F5" i="11"/>
  <c r="E5" i="11"/>
  <c r="D5" i="11"/>
  <c r="C5" i="11"/>
  <c r="B5" i="11"/>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358" i="1"/>
  <c r="I358" i="1"/>
  <c r="H358" i="1"/>
  <c r="G358" i="1"/>
  <c r="F358" i="1"/>
  <c r="E358" i="1"/>
  <c r="D358" i="1"/>
  <c r="J357" i="1"/>
  <c r="I357" i="1"/>
  <c r="H357" i="1"/>
  <c r="G357" i="1"/>
  <c r="F357" i="1"/>
  <c r="E357" i="1"/>
  <c r="D357" i="1"/>
  <c r="J356" i="1"/>
  <c r="I356" i="1"/>
  <c r="H356" i="1"/>
  <c r="G356" i="1"/>
  <c r="F356" i="1"/>
  <c r="E356" i="1"/>
  <c r="D356" i="1"/>
  <c r="J355" i="1"/>
  <c r="I355" i="1"/>
  <c r="H355" i="1"/>
  <c r="G355" i="1"/>
  <c r="F355" i="1"/>
  <c r="E355" i="1"/>
  <c r="D355" i="1"/>
  <c r="J354" i="1"/>
  <c r="I354" i="1"/>
  <c r="H354" i="1"/>
  <c r="G354" i="1"/>
  <c r="F354" i="1"/>
  <c r="E354" i="1"/>
  <c r="D354" i="1"/>
  <c r="J353" i="1"/>
  <c r="I353" i="1"/>
  <c r="H353" i="1"/>
  <c r="G353" i="1"/>
  <c r="F353" i="1"/>
  <c r="E353" i="1"/>
  <c r="D353" i="1"/>
  <c r="J352" i="1"/>
  <c r="I352" i="1"/>
  <c r="H352" i="1"/>
  <c r="G352" i="1"/>
  <c r="F352" i="1"/>
  <c r="E352" i="1"/>
  <c r="D352" i="1"/>
  <c r="J351" i="1"/>
  <c r="I351" i="1"/>
  <c r="H351" i="1"/>
  <c r="G351" i="1"/>
  <c r="F351" i="1"/>
  <c r="E351" i="1"/>
  <c r="D351" i="1"/>
  <c r="J350" i="1"/>
  <c r="I350" i="1"/>
  <c r="H350" i="1"/>
  <c r="G350" i="1"/>
  <c r="F350" i="1"/>
  <c r="E350" i="1"/>
  <c r="D350" i="1"/>
  <c r="J349" i="1"/>
  <c r="I349" i="1"/>
  <c r="H349" i="1"/>
  <c r="G349" i="1"/>
  <c r="F349" i="1"/>
  <c r="E349" i="1"/>
  <c r="D349" i="1"/>
  <c r="J348" i="1"/>
  <c r="I348" i="1"/>
  <c r="H348" i="1"/>
  <c r="G348" i="1"/>
  <c r="F348" i="1"/>
  <c r="E348" i="1"/>
  <c r="D348" i="1"/>
  <c r="J347" i="1"/>
  <c r="I347" i="1"/>
  <c r="H347" i="1"/>
  <c r="G347" i="1"/>
  <c r="F347" i="1"/>
  <c r="E347" i="1"/>
  <c r="D347" i="1"/>
  <c r="J346" i="1"/>
  <c r="I346" i="1"/>
  <c r="H346" i="1"/>
  <c r="G346" i="1"/>
  <c r="F346" i="1"/>
  <c r="E346" i="1"/>
  <c r="D346" i="1"/>
  <c r="J345" i="1"/>
  <c r="I345" i="1"/>
  <c r="H345" i="1"/>
  <c r="G345" i="1"/>
  <c r="F345" i="1"/>
  <c r="E345" i="1"/>
  <c r="D345" i="1"/>
  <c r="J344" i="1"/>
  <c r="I344" i="1"/>
  <c r="H344" i="1"/>
  <c r="G344" i="1"/>
  <c r="F344" i="1"/>
  <c r="E344" i="1"/>
  <c r="D344" i="1"/>
  <c r="J341" i="1"/>
  <c r="I341" i="1"/>
  <c r="H341" i="1"/>
  <c r="G341" i="1"/>
  <c r="F341" i="1"/>
  <c r="E341" i="1"/>
  <c r="D341" i="1"/>
  <c r="J340" i="1"/>
  <c r="I340" i="1"/>
  <c r="H340" i="1"/>
  <c r="G340" i="1"/>
  <c r="F340" i="1"/>
  <c r="E340" i="1"/>
  <c r="D340" i="1"/>
  <c r="J339" i="1"/>
  <c r="I339" i="1"/>
  <c r="H339" i="1"/>
  <c r="G339" i="1"/>
  <c r="F339" i="1"/>
  <c r="E339" i="1"/>
  <c r="D339" i="1"/>
  <c r="J338" i="1"/>
  <c r="I338" i="1"/>
  <c r="H338" i="1"/>
  <c r="G338" i="1"/>
  <c r="F338" i="1"/>
  <c r="E338" i="1"/>
  <c r="D338" i="1"/>
  <c r="J337" i="1"/>
  <c r="I337" i="1"/>
  <c r="H337" i="1"/>
  <c r="G337" i="1"/>
  <c r="F337" i="1"/>
  <c r="E337" i="1"/>
  <c r="D337" i="1"/>
  <c r="J336" i="1"/>
  <c r="I336" i="1"/>
  <c r="H336" i="1"/>
  <c r="G336" i="1"/>
  <c r="F336" i="1"/>
  <c r="E336" i="1"/>
  <c r="D336" i="1"/>
  <c r="J335" i="1"/>
  <c r="I335" i="1"/>
  <c r="H335" i="1"/>
  <c r="G335" i="1"/>
  <c r="F335" i="1"/>
  <c r="E335" i="1"/>
  <c r="D335" i="1"/>
  <c r="J334" i="1"/>
  <c r="I334" i="1"/>
  <c r="H334" i="1"/>
  <c r="G334" i="1"/>
  <c r="F334" i="1"/>
  <c r="E334" i="1"/>
  <c r="D334" i="1"/>
  <c r="J333" i="1"/>
  <c r="I333" i="1"/>
  <c r="H333" i="1"/>
  <c r="G333" i="1"/>
  <c r="F333" i="1"/>
  <c r="E333" i="1"/>
  <c r="D333" i="1"/>
  <c r="J332" i="1"/>
  <c r="I332" i="1"/>
  <c r="H332" i="1"/>
  <c r="G332" i="1"/>
  <c r="F332" i="1"/>
  <c r="E332" i="1"/>
  <c r="D332" i="1"/>
  <c r="J331" i="1"/>
  <c r="I331" i="1"/>
  <c r="H331" i="1"/>
  <c r="G331" i="1"/>
  <c r="F331" i="1"/>
  <c r="E331" i="1"/>
  <c r="D331" i="1"/>
  <c r="J330" i="1"/>
  <c r="I330" i="1"/>
  <c r="H330" i="1"/>
  <c r="G330" i="1"/>
  <c r="F330" i="1"/>
  <c r="E330" i="1"/>
  <c r="D330" i="1"/>
  <c r="J329" i="1"/>
  <c r="I329" i="1"/>
  <c r="H329" i="1"/>
  <c r="G329" i="1"/>
  <c r="F329" i="1"/>
  <c r="E329" i="1"/>
  <c r="D329" i="1"/>
  <c r="J328" i="1"/>
  <c r="I328" i="1"/>
  <c r="H328" i="1"/>
  <c r="G328" i="1"/>
  <c r="F328" i="1"/>
  <c r="E328" i="1"/>
  <c r="D328" i="1"/>
  <c r="J327" i="1"/>
  <c r="I327" i="1"/>
  <c r="H327" i="1"/>
  <c r="G327" i="1"/>
  <c r="F327" i="1"/>
  <c r="E327" i="1"/>
  <c r="D327" i="1"/>
  <c r="J324" i="1"/>
  <c r="I324" i="1"/>
  <c r="H324" i="1"/>
  <c r="G324" i="1"/>
  <c r="F324" i="1"/>
  <c r="E324" i="1"/>
  <c r="D324" i="1"/>
  <c r="J323" i="1"/>
  <c r="I323" i="1"/>
  <c r="H323" i="1"/>
  <c r="G323" i="1"/>
  <c r="F323" i="1"/>
  <c r="E323" i="1"/>
  <c r="D323" i="1"/>
  <c r="J322" i="1"/>
  <c r="I322" i="1"/>
  <c r="H322" i="1"/>
  <c r="G322" i="1"/>
  <c r="F322" i="1"/>
  <c r="E322" i="1"/>
  <c r="D322" i="1"/>
  <c r="J321" i="1"/>
  <c r="I321" i="1"/>
  <c r="H321" i="1"/>
  <c r="G321" i="1"/>
  <c r="F321" i="1"/>
  <c r="E321" i="1"/>
  <c r="D321" i="1"/>
  <c r="J320" i="1"/>
  <c r="I320" i="1"/>
  <c r="H320" i="1"/>
  <c r="G320" i="1"/>
  <c r="F320" i="1"/>
  <c r="E320" i="1"/>
  <c r="D320" i="1"/>
  <c r="J319" i="1"/>
  <c r="I319" i="1"/>
  <c r="H319" i="1"/>
  <c r="G319" i="1"/>
  <c r="F319" i="1"/>
  <c r="E319" i="1"/>
  <c r="D319" i="1"/>
  <c r="J318" i="1"/>
  <c r="I318" i="1"/>
  <c r="H318" i="1"/>
  <c r="G318" i="1"/>
  <c r="F318" i="1"/>
  <c r="E318" i="1"/>
  <c r="D318" i="1"/>
  <c r="J317" i="1"/>
  <c r="I317" i="1"/>
  <c r="H317" i="1"/>
  <c r="G317" i="1"/>
  <c r="F317" i="1"/>
  <c r="E317" i="1"/>
  <c r="D317" i="1"/>
  <c r="J316" i="1"/>
  <c r="I316" i="1"/>
  <c r="H316" i="1"/>
  <c r="G316" i="1"/>
  <c r="F316" i="1"/>
  <c r="E316" i="1"/>
  <c r="D316" i="1"/>
  <c r="J315" i="1"/>
  <c r="I315" i="1"/>
  <c r="H315" i="1"/>
  <c r="G315" i="1"/>
  <c r="F315" i="1"/>
  <c r="E315" i="1"/>
  <c r="D315" i="1"/>
  <c r="J314" i="1"/>
  <c r="I314" i="1"/>
  <c r="H314" i="1"/>
  <c r="G314" i="1"/>
  <c r="F314" i="1"/>
  <c r="E314" i="1"/>
  <c r="D314" i="1"/>
  <c r="J313" i="1"/>
  <c r="I313" i="1"/>
  <c r="H313" i="1"/>
  <c r="G313" i="1"/>
  <c r="F313" i="1"/>
  <c r="E313" i="1"/>
  <c r="D313" i="1"/>
  <c r="J312" i="1"/>
  <c r="I312" i="1"/>
  <c r="H312" i="1"/>
  <c r="G312" i="1"/>
  <c r="F312" i="1"/>
  <c r="E312" i="1"/>
  <c r="D312" i="1"/>
  <c r="J311" i="1"/>
  <c r="I311" i="1"/>
  <c r="H311" i="1"/>
  <c r="G311" i="1"/>
  <c r="F311" i="1"/>
  <c r="E311" i="1"/>
  <c r="D311" i="1"/>
  <c r="J310" i="1"/>
  <c r="I310" i="1"/>
  <c r="H310" i="1"/>
  <c r="G310" i="1"/>
  <c r="F310" i="1"/>
  <c r="E310" i="1"/>
  <c r="D310" i="1"/>
  <c r="J307" i="1"/>
  <c r="I307" i="1"/>
  <c r="H307" i="1"/>
  <c r="G307" i="1"/>
  <c r="F307" i="1"/>
  <c r="E307" i="1"/>
  <c r="D307" i="1"/>
  <c r="J306" i="1"/>
  <c r="I306" i="1"/>
  <c r="H306" i="1"/>
  <c r="G306" i="1"/>
  <c r="F306" i="1"/>
  <c r="E306" i="1"/>
  <c r="D306" i="1"/>
  <c r="J305" i="1"/>
  <c r="I305" i="1"/>
  <c r="H305" i="1"/>
  <c r="G305" i="1"/>
  <c r="F305" i="1"/>
  <c r="E305" i="1"/>
  <c r="D305" i="1"/>
  <c r="J304" i="1"/>
  <c r="I304" i="1"/>
  <c r="H304" i="1"/>
  <c r="G304" i="1"/>
  <c r="F304" i="1"/>
  <c r="E304" i="1"/>
  <c r="D304" i="1"/>
  <c r="J303" i="1"/>
  <c r="I303" i="1"/>
  <c r="H303" i="1"/>
  <c r="G303" i="1"/>
  <c r="F303" i="1"/>
  <c r="E303" i="1"/>
  <c r="D303" i="1"/>
  <c r="J302" i="1"/>
  <c r="I302" i="1"/>
  <c r="H302" i="1"/>
  <c r="G302" i="1"/>
  <c r="F302" i="1"/>
  <c r="E302" i="1"/>
  <c r="D302" i="1"/>
  <c r="J301" i="1"/>
  <c r="I301" i="1"/>
  <c r="H301" i="1"/>
  <c r="G301" i="1"/>
  <c r="F301" i="1"/>
  <c r="E301" i="1"/>
  <c r="D301" i="1"/>
  <c r="J300" i="1"/>
  <c r="I300" i="1"/>
  <c r="H300" i="1"/>
  <c r="G300" i="1"/>
  <c r="F300" i="1"/>
  <c r="E300" i="1"/>
  <c r="D300" i="1"/>
  <c r="J299" i="1"/>
  <c r="I299" i="1"/>
  <c r="H299" i="1"/>
  <c r="G299" i="1"/>
  <c r="F299" i="1"/>
  <c r="E299" i="1"/>
  <c r="D299" i="1"/>
  <c r="J298" i="1"/>
  <c r="I298" i="1"/>
  <c r="H298" i="1"/>
  <c r="G298" i="1"/>
  <c r="F298" i="1"/>
  <c r="E298" i="1"/>
  <c r="D298" i="1"/>
  <c r="J297" i="1"/>
  <c r="I297" i="1"/>
  <c r="H297" i="1"/>
  <c r="G297" i="1"/>
  <c r="F297" i="1"/>
  <c r="E297" i="1"/>
  <c r="D297" i="1"/>
  <c r="J296" i="1"/>
  <c r="I296" i="1"/>
  <c r="H296" i="1"/>
  <c r="G296" i="1"/>
  <c r="F296" i="1"/>
  <c r="E296" i="1"/>
  <c r="D296" i="1"/>
  <c r="J295" i="1"/>
  <c r="I295" i="1"/>
  <c r="H295" i="1"/>
  <c r="G295" i="1"/>
  <c r="F295" i="1"/>
  <c r="E295" i="1"/>
  <c r="D295" i="1"/>
  <c r="J294" i="1"/>
  <c r="I294" i="1"/>
  <c r="H294" i="1"/>
  <c r="G294" i="1"/>
  <c r="F294" i="1"/>
  <c r="E294" i="1"/>
  <c r="D294" i="1"/>
  <c r="J293" i="1"/>
  <c r="I293" i="1"/>
  <c r="H293" i="1"/>
  <c r="G293" i="1"/>
  <c r="F293" i="1"/>
  <c r="E293" i="1"/>
  <c r="D293" i="1"/>
  <c r="J291" i="1"/>
  <c r="I291" i="1"/>
  <c r="H291" i="1"/>
  <c r="G291" i="1"/>
  <c r="F291" i="1"/>
  <c r="E291" i="1"/>
  <c r="D291" i="1"/>
  <c r="J239" i="1"/>
  <c r="I239" i="1"/>
  <c r="H239" i="1"/>
  <c r="G239" i="1"/>
  <c r="F239" i="1"/>
  <c r="E239" i="1"/>
  <c r="D239" i="1"/>
  <c r="J238" i="1"/>
  <c r="I238" i="1"/>
  <c r="H238" i="1"/>
  <c r="G238" i="1"/>
  <c r="F238" i="1"/>
  <c r="E238" i="1"/>
  <c r="D238" i="1"/>
  <c r="J237" i="1"/>
  <c r="I237" i="1"/>
  <c r="H237" i="1"/>
  <c r="G237" i="1"/>
  <c r="F237" i="1"/>
  <c r="E237" i="1"/>
  <c r="D237" i="1"/>
  <c r="J236" i="1"/>
  <c r="I236" i="1"/>
  <c r="H236" i="1"/>
  <c r="G236" i="1"/>
  <c r="F236" i="1"/>
  <c r="E236" i="1"/>
  <c r="D236" i="1"/>
  <c r="J235" i="1"/>
  <c r="I235" i="1"/>
  <c r="H235" i="1"/>
  <c r="G235" i="1"/>
  <c r="F235" i="1"/>
  <c r="E235" i="1"/>
  <c r="D235" i="1"/>
  <c r="J234" i="1"/>
  <c r="I234" i="1"/>
  <c r="H234" i="1"/>
  <c r="G234" i="1"/>
  <c r="F234" i="1"/>
  <c r="E234" i="1"/>
  <c r="D234" i="1"/>
  <c r="J233" i="1"/>
  <c r="I233" i="1"/>
  <c r="H233" i="1"/>
  <c r="G233" i="1"/>
  <c r="F233" i="1"/>
  <c r="E233" i="1"/>
  <c r="D233" i="1"/>
  <c r="J232" i="1"/>
  <c r="I232" i="1"/>
  <c r="H232" i="1"/>
  <c r="G232" i="1"/>
  <c r="F232" i="1"/>
  <c r="E232" i="1"/>
  <c r="D232" i="1"/>
  <c r="J231" i="1"/>
  <c r="I231" i="1"/>
  <c r="H231" i="1"/>
  <c r="G231" i="1"/>
  <c r="F231" i="1"/>
  <c r="E231" i="1"/>
  <c r="D231" i="1"/>
  <c r="J230" i="1"/>
  <c r="I230" i="1"/>
  <c r="H230" i="1"/>
  <c r="G230" i="1"/>
  <c r="F230" i="1"/>
  <c r="E230" i="1"/>
  <c r="D230" i="1"/>
  <c r="J229" i="1"/>
  <c r="I229" i="1"/>
  <c r="H229" i="1"/>
  <c r="G229" i="1"/>
  <c r="F229" i="1"/>
  <c r="E229" i="1"/>
  <c r="D229" i="1"/>
  <c r="J228" i="1"/>
  <c r="I228" i="1"/>
  <c r="H228" i="1"/>
  <c r="G228" i="1"/>
  <c r="F228" i="1"/>
  <c r="E228" i="1"/>
  <c r="D228" i="1"/>
  <c r="J227" i="1"/>
  <c r="I227" i="1"/>
  <c r="H227" i="1"/>
  <c r="G227" i="1"/>
  <c r="F227" i="1"/>
  <c r="E227" i="1"/>
  <c r="D227" i="1"/>
  <c r="J226" i="1"/>
  <c r="I226" i="1"/>
  <c r="H226" i="1"/>
  <c r="G226" i="1"/>
  <c r="F226" i="1"/>
  <c r="E226" i="1"/>
  <c r="D226" i="1"/>
  <c r="J225" i="1"/>
  <c r="I225" i="1"/>
  <c r="H225" i="1"/>
  <c r="G225" i="1"/>
  <c r="F225" i="1"/>
  <c r="E225" i="1"/>
  <c r="D225" i="1"/>
  <c r="J223" i="1"/>
  <c r="I223" i="1"/>
  <c r="H223" i="1"/>
  <c r="G223" i="1"/>
  <c r="F223" i="1"/>
  <c r="E223" i="1"/>
  <c r="D223" i="1"/>
  <c r="J222" i="1"/>
  <c r="I222" i="1"/>
  <c r="H222" i="1"/>
  <c r="G222" i="1"/>
  <c r="F222" i="1"/>
  <c r="E222" i="1"/>
  <c r="D222" i="1"/>
  <c r="J221" i="1"/>
  <c r="I221" i="1"/>
  <c r="H221" i="1"/>
  <c r="G221" i="1"/>
  <c r="F221" i="1"/>
  <c r="E221" i="1"/>
  <c r="D221" i="1"/>
  <c r="J220" i="1"/>
  <c r="I220" i="1"/>
  <c r="H220" i="1"/>
  <c r="G220" i="1"/>
  <c r="F220" i="1"/>
  <c r="E220" i="1"/>
  <c r="D220" i="1"/>
  <c r="J219" i="1"/>
  <c r="I219" i="1"/>
  <c r="H219" i="1"/>
  <c r="G219" i="1"/>
  <c r="F219" i="1"/>
  <c r="E219" i="1"/>
  <c r="D219" i="1"/>
  <c r="J218" i="1"/>
  <c r="I218" i="1"/>
  <c r="H218" i="1"/>
  <c r="G218" i="1"/>
  <c r="F218" i="1"/>
  <c r="E218" i="1"/>
  <c r="D218" i="1"/>
  <c r="J217" i="1"/>
  <c r="I217" i="1"/>
  <c r="H217" i="1"/>
  <c r="G217" i="1"/>
  <c r="F217" i="1"/>
  <c r="E217" i="1"/>
  <c r="D217" i="1"/>
  <c r="J216" i="1"/>
  <c r="I216" i="1"/>
  <c r="H216" i="1"/>
  <c r="G216" i="1"/>
  <c r="F216" i="1"/>
  <c r="E216" i="1"/>
  <c r="D216" i="1"/>
  <c r="J215" i="1"/>
  <c r="I215" i="1"/>
  <c r="H215" i="1"/>
  <c r="G215" i="1"/>
  <c r="F215" i="1"/>
  <c r="E215" i="1"/>
  <c r="D215" i="1"/>
  <c r="J214" i="1"/>
  <c r="I214" i="1"/>
  <c r="H214" i="1"/>
  <c r="G214" i="1"/>
  <c r="F214" i="1"/>
  <c r="E214" i="1"/>
  <c r="D214" i="1"/>
  <c r="J213" i="1"/>
  <c r="I213" i="1"/>
  <c r="H213" i="1"/>
  <c r="G213" i="1"/>
  <c r="F213" i="1"/>
  <c r="E213" i="1"/>
  <c r="D213" i="1"/>
  <c r="J212" i="1"/>
  <c r="I212" i="1"/>
  <c r="H212" i="1"/>
  <c r="G212" i="1"/>
  <c r="F212" i="1"/>
  <c r="E212" i="1"/>
  <c r="D212" i="1"/>
  <c r="J211" i="1"/>
  <c r="I211" i="1"/>
  <c r="H211" i="1"/>
  <c r="G211" i="1"/>
  <c r="F211" i="1"/>
  <c r="E211" i="1"/>
  <c r="D211" i="1"/>
  <c r="J210" i="1"/>
  <c r="I210" i="1"/>
  <c r="H210" i="1"/>
  <c r="G210" i="1"/>
  <c r="F210" i="1"/>
  <c r="E210" i="1"/>
  <c r="D210" i="1"/>
  <c r="J209" i="1"/>
  <c r="I209" i="1"/>
  <c r="H209" i="1"/>
  <c r="G209" i="1"/>
  <c r="F209" i="1"/>
  <c r="E209" i="1"/>
  <c r="D209" i="1"/>
  <c r="J208" i="1"/>
  <c r="I208" i="1"/>
  <c r="H208" i="1"/>
  <c r="G208" i="1"/>
  <c r="F208" i="1"/>
  <c r="E208" i="1"/>
  <c r="D208" i="1"/>
  <c r="J206" i="1"/>
  <c r="I206" i="1"/>
  <c r="H206" i="1"/>
  <c r="G206" i="1"/>
  <c r="F206" i="1"/>
  <c r="E206" i="1"/>
  <c r="D206" i="1"/>
  <c r="J205" i="1"/>
  <c r="I205" i="1"/>
  <c r="H205" i="1"/>
  <c r="G205" i="1"/>
  <c r="F205" i="1"/>
  <c r="E205" i="1"/>
  <c r="D205" i="1"/>
  <c r="J204" i="1"/>
  <c r="I204" i="1"/>
  <c r="H204" i="1"/>
  <c r="G204" i="1"/>
  <c r="F204" i="1"/>
  <c r="E204" i="1"/>
  <c r="D204" i="1"/>
  <c r="J203" i="1"/>
  <c r="I203" i="1"/>
  <c r="H203" i="1"/>
  <c r="G203" i="1"/>
  <c r="F203" i="1"/>
  <c r="E203" i="1"/>
  <c r="D203" i="1"/>
  <c r="J202" i="1"/>
  <c r="I202" i="1"/>
  <c r="H202" i="1"/>
  <c r="G202" i="1"/>
  <c r="F202" i="1"/>
  <c r="E202" i="1"/>
  <c r="D202" i="1"/>
  <c r="J201" i="1"/>
  <c r="I201" i="1"/>
  <c r="H201" i="1"/>
  <c r="G201" i="1"/>
  <c r="F201" i="1"/>
  <c r="E201" i="1"/>
  <c r="D201" i="1"/>
  <c r="J200" i="1"/>
  <c r="I200" i="1"/>
  <c r="H200" i="1"/>
  <c r="G200" i="1"/>
  <c r="F200" i="1"/>
  <c r="E200" i="1"/>
  <c r="D200" i="1"/>
  <c r="J199" i="1"/>
  <c r="I199" i="1"/>
  <c r="H199" i="1"/>
  <c r="G199" i="1"/>
  <c r="F199" i="1"/>
  <c r="E199" i="1"/>
  <c r="D199" i="1"/>
  <c r="J198" i="1"/>
  <c r="I198" i="1"/>
  <c r="H198" i="1"/>
  <c r="G198" i="1"/>
  <c r="F198" i="1"/>
  <c r="E198" i="1"/>
  <c r="D198" i="1"/>
  <c r="J197" i="1"/>
  <c r="I197" i="1"/>
  <c r="H197" i="1"/>
  <c r="G197" i="1"/>
  <c r="F197" i="1"/>
  <c r="E197" i="1"/>
  <c r="D197" i="1"/>
  <c r="J196" i="1"/>
  <c r="I196" i="1"/>
  <c r="H196" i="1"/>
  <c r="G196" i="1"/>
  <c r="F196" i="1"/>
  <c r="E196" i="1"/>
  <c r="D196" i="1"/>
  <c r="J195" i="1"/>
  <c r="I195" i="1"/>
  <c r="H195" i="1"/>
  <c r="G195" i="1"/>
  <c r="F195" i="1"/>
  <c r="E195" i="1"/>
  <c r="D195" i="1"/>
  <c r="J194" i="1"/>
  <c r="I194" i="1"/>
  <c r="H194" i="1"/>
  <c r="G194" i="1"/>
  <c r="F194" i="1"/>
  <c r="E194" i="1"/>
  <c r="D194" i="1"/>
  <c r="J193" i="1"/>
  <c r="I193" i="1"/>
  <c r="H193" i="1"/>
  <c r="G193" i="1"/>
  <c r="F193" i="1"/>
  <c r="E193" i="1"/>
  <c r="D193" i="1"/>
  <c r="J192" i="1"/>
  <c r="I192" i="1"/>
  <c r="H192" i="1"/>
  <c r="G192" i="1"/>
  <c r="F192" i="1"/>
  <c r="E192" i="1"/>
  <c r="D192" i="1"/>
  <c r="J191" i="1"/>
  <c r="I191" i="1"/>
  <c r="H191" i="1"/>
  <c r="G191" i="1"/>
  <c r="F191" i="1"/>
  <c r="E191" i="1"/>
  <c r="D191" i="1"/>
  <c r="J189" i="1"/>
  <c r="I189" i="1"/>
  <c r="H189" i="1"/>
  <c r="G189" i="1"/>
  <c r="F189" i="1"/>
  <c r="E189" i="1"/>
  <c r="D189" i="1"/>
  <c r="J173" i="1"/>
  <c r="I173" i="1"/>
  <c r="H173" i="1"/>
  <c r="G173" i="1"/>
  <c r="F173" i="1"/>
  <c r="E173" i="1"/>
  <c r="J172" i="1"/>
  <c r="I172" i="1"/>
  <c r="H172" i="1"/>
  <c r="G172" i="1"/>
  <c r="F172" i="1"/>
  <c r="E172" i="1"/>
  <c r="J156" i="1"/>
  <c r="I156" i="1"/>
  <c r="H156" i="1"/>
  <c r="G156" i="1"/>
  <c r="F156" i="1"/>
  <c r="E156" i="1"/>
  <c r="J155" i="1"/>
  <c r="I155" i="1"/>
  <c r="H155" i="1"/>
  <c r="G155" i="1"/>
  <c r="F155" i="1"/>
  <c r="E155" i="1"/>
  <c r="J154" i="1"/>
  <c r="I154" i="1"/>
  <c r="H154" i="1"/>
  <c r="G154" i="1"/>
  <c r="F154" i="1"/>
  <c r="E154" i="1"/>
  <c r="D154" i="1"/>
  <c r="J153" i="1"/>
  <c r="I153" i="1"/>
  <c r="H153" i="1"/>
  <c r="G153" i="1"/>
  <c r="F153" i="1"/>
  <c r="E153" i="1"/>
  <c r="D153" i="1"/>
  <c r="J152" i="1"/>
  <c r="I152" i="1"/>
  <c r="H152" i="1"/>
  <c r="G152" i="1"/>
  <c r="F152" i="1"/>
  <c r="E152" i="1"/>
  <c r="D152" i="1"/>
  <c r="J151" i="1"/>
  <c r="I151" i="1"/>
  <c r="H151" i="1"/>
  <c r="G151" i="1"/>
  <c r="F151" i="1"/>
  <c r="E151" i="1"/>
  <c r="D151" i="1"/>
  <c r="J150" i="1"/>
  <c r="I150" i="1"/>
  <c r="H150" i="1"/>
  <c r="G150" i="1"/>
  <c r="F150" i="1"/>
  <c r="E150" i="1"/>
  <c r="D150" i="1"/>
  <c r="J149" i="1"/>
  <c r="I149" i="1"/>
  <c r="H149" i="1"/>
  <c r="G149" i="1"/>
  <c r="F149" i="1"/>
  <c r="E149" i="1"/>
  <c r="D149" i="1"/>
  <c r="J148" i="1"/>
  <c r="I148" i="1"/>
  <c r="H148" i="1"/>
  <c r="G148" i="1"/>
  <c r="F148" i="1"/>
  <c r="E148" i="1"/>
  <c r="D148" i="1"/>
  <c r="J147" i="1"/>
  <c r="I147" i="1"/>
  <c r="H147" i="1"/>
  <c r="G147" i="1"/>
  <c r="F147" i="1"/>
  <c r="E147" i="1"/>
  <c r="D147" i="1"/>
  <c r="J146" i="1"/>
  <c r="I146" i="1"/>
  <c r="H146" i="1"/>
  <c r="G146" i="1"/>
  <c r="F146" i="1"/>
  <c r="E146" i="1"/>
  <c r="D146" i="1"/>
  <c r="J145" i="1"/>
  <c r="I145" i="1"/>
  <c r="H145" i="1"/>
  <c r="G145" i="1"/>
  <c r="F145" i="1"/>
  <c r="E145" i="1"/>
  <c r="D145" i="1"/>
  <c r="J144" i="1"/>
  <c r="I144" i="1"/>
  <c r="H144" i="1"/>
  <c r="G144" i="1"/>
  <c r="F144" i="1"/>
  <c r="E144" i="1"/>
  <c r="D144" i="1"/>
  <c r="J143" i="1"/>
  <c r="I143" i="1"/>
  <c r="H143" i="1"/>
  <c r="G143" i="1"/>
  <c r="F143" i="1"/>
  <c r="E143" i="1"/>
  <c r="D143" i="1"/>
  <c r="J142" i="1"/>
  <c r="I142" i="1"/>
  <c r="H142" i="1"/>
  <c r="G142" i="1"/>
  <c r="F142" i="1"/>
  <c r="E142" i="1"/>
  <c r="D142" i="1"/>
  <c r="J141" i="1"/>
  <c r="I141" i="1"/>
  <c r="H141" i="1"/>
  <c r="G141" i="1"/>
  <c r="F141" i="1"/>
  <c r="E141" i="1"/>
  <c r="D141" i="1"/>
  <c r="J140" i="1"/>
  <c r="I140" i="1"/>
  <c r="H140" i="1"/>
  <c r="G140" i="1"/>
  <c r="F140" i="1"/>
  <c r="E140" i="1"/>
  <c r="D140" i="1"/>
  <c r="J138" i="1"/>
  <c r="I138" i="1"/>
  <c r="H138" i="1"/>
  <c r="G138" i="1"/>
  <c r="F138" i="1"/>
  <c r="E138" i="1"/>
  <c r="D138" i="1"/>
  <c r="J103" i="1"/>
  <c r="I103" i="1"/>
  <c r="H103" i="1"/>
  <c r="G103" i="1"/>
  <c r="F103" i="1"/>
  <c r="E103" i="1"/>
  <c r="D103" i="1"/>
  <c r="J102" i="1"/>
  <c r="I102" i="1"/>
  <c r="H102" i="1"/>
  <c r="G102" i="1"/>
  <c r="F102" i="1"/>
  <c r="E102" i="1"/>
  <c r="D102" i="1"/>
  <c r="J101" i="1"/>
  <c r="I101" i="1"/>
  <c r="H101" i="1"/>
  <c r="G101" i="1"/>
  <c r="F101" i="1"/>
  <c r="E101" i="1"/>
  <c r="D101" i="1"/>
  <c r="J100" i="1"/>
  <c r="I100" i="1"/>
  <c r="H100" i="1"/>
  <c r="G100" i="1"/>
  <c r="F100" i="1"/>
  <c r="E100" i="1"/>
  <c r="D100" i="1"/>
  <c r="J99" i="1"/>
  <c r="I99" i="1"/>
  <c r="H99" i="1"/>
  <c r="G99" i="1"/>
  <c r="F99" i="1"/>
  <c r="E99" i="1"/>
  <c r="D99" i="1"/>
  <c r="J98" i="1"/>
  <c r="I98" i="1"/>
  <c r="H98" i="1"/>
  <c r="G98" i="1"/>
  <c r="F98" i="1"/>
  <c r="E98" i="1"/>
  <c r="D98" i="1"/>
  <c r="J97" i="1"/>
  <c r="I97" i="1"/>
  <c r="H97" i="1"/>
  <c r="G97" i="1"/>
  <c r="F97" i="1"/>
  <c r="E97" i="1"/>
  <c r="D97" i="1"/>
  <c r="J96" i="1"/>
  <c r="I96" i="1"/>
  <c r="H96" i="1"/>
  <c r="G96" i="1"/>
  <c r="F96" i="1"/>
  <c r="E96" i="1"/>
  <c r="D96" i="1"/>
  <c r="J95" i="1"/>
  <c r="I95" i="1"/>
  <c r="H95" i="1"/>
  <c r="G95" i="1"/>
  <c r="F95" i="1"/>
  <c r="E95" i="1"/>
  <c r="D95" i="1"/>
  <c r="J94" i="1"/>
  <c r="I94" i="1"/>
  <c r="H94" i="1"/>
  <c r="G94" i="1"/>
  <c r="F94" i="1"/>
  <c r="E94" i="1"/>
  <c r="D94" i="1"/>
  <c r="J93" i="1"/>
  <c r="I93" i="1"/>
  <c r="H93" i="1"/>
  <c r="G93" i="1"/>
  <c r="F93" i="1"/>
  <c r="E93" i="1"/>
  <c r="D93" i="1"/>
  <c r="J92" i="1"/>
  <c r="I92" i="1"/>
  <c r="H92" i="1"/>
  <c r="G92" i="1"/>
  <c r="F92" i="1"/>
  <c r="E92" i="1"/>
  <c r="D92" i="1"/>
  <c r="J91" i="1"/>
  <c r="I91" i="1"/>
  <c r="H91" i="1"/>
  <c r="G91" i="1"/>
  <c r="F91" i="1"/>
  <c r="E91" i="1"/>
  <c r="D91" i="1"/>
  <c r="J90" i="1"/>
  <c r="I90" i="1"/>
  <c r="H90" i="1"/>
  <c r="G90" i="1"/>
  <c r="F90" i="1"/>
  <c r="E90" i="1"/>
  <c r="D90" i="1"/>
  <c r="J89" i="1"/>
  <c r="I89" i="1"/>
  <c r="H89" i="1"/>
  <c r="G89" i="1"/>
  <c r="F89" i="1"/>
  <c r="E89" i="1"/>
  <c r="D89" i="1"/>
  <c r="J87" i="1"/>
  <c r="I87" i="1"/>
  <c r="H87" i="1"/>
  <c r="G87" i="1"/>
  <c r="F87" i="1"/>
  <c r="E87" i="1"/>
  <c r="D87" i="1"/>
  <c r="J69" i="1"/>
  <c r="I69" i="1"/>
  <c r="H69" i="1"/>
  <c r="G69" i="1"/>
  <c r="F69" i="1"/>
  <c r="E69" i="1"/>
  <c r="D69" i="1"/>
  <c r="J68" i="1"/>
  <c r="I68" i="1"/>
  <c r="H68" i="1"/>
  <c r="G68" i="1"/>
  <c r="F68" i="1"/>
  <c r="E68" i="1"/>
  <c r="D68" i="1"/>
  <c r="J67" i="1"/>
  <c r="I67" i="1"/>
  <c r="H67" i="1"/>
  <c r="G67" i="1"/>
  <c r="F67" i="1"/>
  <c r="E67" i="1"/>
  <c r="D67" i="1"/>
  <c r="J66" i="1"/>
  <c r="I66" i="1"/>
  <c r="H66" i="1"/>
  <c r="G66" i="1"/>
  <c r="F66" i="1"/>
  <c r="E66" i="1"/>
  <c r="D66" i="1"/>
  <c r="J65" i="1"/>
  <c r="I65" i="1"/>
  <c r="H65" i="1"/>
  <c r="G65" i="1"/>
  <c r="F65" i="1"/>
  <c r="E65" i="1"/>
  <c r="D65" i="1"/>
  <c r="J64" i="1"/>
  <c r="I64" i="1"/>
  <c r="H64" i="1"/>
  <c r="G64" i="1"/>
  <c r="F64" i="1"/>
  <c r="E64" i="1"/>
  <c r="D64" i="1"/>
  <c r="J63" i="1"/>
  <c r="I63" i="1"/>
  <c r="H63" i="1"/>
  <c r="G63" i="1"/>
  <c r="F63" i="1"/>
  <c r="E63" i="1"/>
  <c r="D63" i="1"/>
  <c r="J62" i="1"/>
  <c r="I62" i="1"/>
  <c r="H62" i="1"/>
  <c r="G62" i="1"/>
  <c r="F62" i="1"/>
  <c r="E62" i="1"/>
  <c r="D62" i="1"/>
  <c r="J61" i="1"/>
  <c r="I61" i="1"/>
  <c r="H61" i="1"/>
  <c r="G61" i="1"/>
  <c r="F61" i="1"/>
  <c r="E61" i="1"/>
  <c r="D61" i="1"/>
  <c r="J60" i="1"/>
  <c r="I60" i="1"/>
  <c r="H60" i="1"/>
  <c r="G60" i="1"/>
  <c r="F60" i="1"/>
  <c r="E60" i="1"/>
  <c r="D60" i="1"/>
  <c r="J59" i="1"/>
  <c r="I59" i="1"/>
  <c r="H59" i="1"/>
  <c r="G59" i="1"/>
  <c r="F59" i="1"/>
  <c r="E59" i="1"/>
  <c r="D59" i="1"/>
  <c r="J58" i="1"/>
  <c r="I58" i="1"/>
  <c r="H58" i="1"/>
  <c r="G58" i="1"/>
  <c r="F58" i="1"/>
  <c r="E58" i="1"/>
  <c r="D58" i="1"/>
  <c r="J57" i="1"/>
  <c r="I57" i="1"/>
  <c r="H57" i="1"/>
  <c r="G57" i="1"/>
  <c r="F57" i="1"/>
  <c r="E57" i="1"/>
  <c r="D57" i="1"/>
  <c r="J56" i="1"/>
  <c r="I56" i="1"/>
  <c r="H56" i="1"/>
  <c r="G56" i="1"/>
  <c r="F56" i="1"/>
  <c r="E56" i="1"/>
  <c r="D56" i="1"/>
  <c r="J55" i="1"/>
  <c r="I55" i="1"/>
  <c r="H55" i="1"/>
  <c r="G55" i="1"/>
  <c r="F55" i="1"/>
  <c r="E55" i="1"/>
  <c r="D55" i="1"/>
  <c r="J53" i="1"/>
  <c r="I53" i="1"/>
  <c r="H53" i="1"/>
  <c r="G53" i="1"/>
  <c r="F53" i="1"/>
  <c r="E53" i="1"/>
  <c r="D53" i="1"/>
  <c r="J52" i="1"/>
  <c r="I52" i="1"/>
  <c r="H52" i="1"/>
  <c r="G52" i="1"/>
  <c r="F52" i="1"/>
  <c r="E52" i="1"/>
  <c r="D52" i="1"/>
  <c r="J51" i="1"/>
  <c r="I51" i="1"/>
  <c r="H51" i="1"/>
  <c r="G51" i="1"/>
  <c r="F51" i="1"/>
  <c r="E51" i="1"/>
  <c r="D51" i="1"/>
  <c r="J50" i="1"/>
  <c r="I50" i="1"/>
  <c r="H50" i="1"/>
  <c r="G50" i="1"/>
  <c r="F50" i="1"/>
  <c r="E50" i="1"/>
  <c r="D50" i="1"/>
  <c r="J49" i="1"/>
  <c r="I49" i="1"/>
  <c r="H49" i="1"/>
  <c r="G49" i="1"/>
  <c r="F49" i="1"/>
  <c r="E49" i="1"/>
  <c r="D49" i="1"/>
  <c r="J48" i="1"/>
  <c r="I48" i="1"/>
  <c r="H48" i="1"/>
  <c r="G48" i="1"/>
  <c r="F48" i="1"/>
  <c r="E48" i="1"/>
  <c r="D48" i="1"/>
  <c r="J47" i="1"/>
  <c r="I47" i="1"/>
  <c r="H47" i="1"/>
  <c r="G47" i="1"/>
  <c r="F47" i="1"/>
  <c r="E47" i="1"/>
  <c r="D47" i="1"/>
  <c r="J46" i="1"/>
  <c r="I46" i="1"/>
  <c r="H46" i="1"/>
  <c r="G46" i="1"/>
  <c r="F46" i="1"/>
  <c r="E46" i="1"/>
  <c r="D46" i="1"/>
  <c r="J45" i="1"/>
  <c r="I45" i="1"/>
  <c r="H45" i="1"/>
  <c r="G45" i="1"/>
  <c r="F45" i="1"/>
  <c r="E45" i="1"/>
  <c r="D45" i="1"/>
  <c r="J44" i="1"/>
  <c r="I44" i="1"/>
  <c r="H44" i="1"/>
  <c r="G44" i="1"/>
  <c r="F44" i="1"/>
  <c r="E44" i="1"/>
  <c r="D44" i="1"/>
  <c r="J43" i="1"/>
  <c r="I43" i="1"/>
  <c r="H43" i="1"/>
  <c r="G43" i="1"/>
  <c r="F43" i="1"/>
  <c r="E43" i="1"/>
  <c r="D43" i="1"/>
  <c r="J42" i="1"/>
  <c r="I42" i="1"/>
  <c r="H42" i="1"/>
  <c r="G42" i="1"/>
  <c r="F42" i="1"/>
  <c r="E42" i="1"/>
  <c r="D42" i="1"/>
  <c r="J41" i="1"/>
  <c r="I41" i="1"/>
  <c r="H41" i="1"/>
  <c r="G41" i="1"/>
  <c r="F41" i="1"/>
  <c r="E41" i="1"/>
  <c r="D41" i="1"/>
  <c r="J40" i="1"/>
  <c r="I40" i="1"/>
  <c r="H40" i="1"/>
  <c r="G40" i="1"/>
  <c r="F40" i="1"/>
  <c r="E40" i="1"/>
  <c r="D40" i="1"/>
  <c r="J39" i="1"/>
  <c r="I39" i="1"/>
  <c r="H39" i="1"/>
  <c r="G39" i="1"/>
  <c r="F39" i="1"/>
  <c r="E39" i="1"/>
  <c r="D39" i="1"/>
  <c r="J38" i="1"/>
  <c r="I38" i="1"/>
  <c r="H38" i="1"/>
  <c r="G38" i="1"/>
  <c r="F38" i="1"/>
  <c r="E38" i="1"/>
  <c r="D38" i="1"/>
  <c r="J36" i="1"/>
  <c r="I36" i="1"/>
  <c r="H36" i="1"/>
  <c r="G36" i="1"/>
  <c r="F36" i="1"/>
  <c r="E36" i="1"/>
  <c r="D36" i="1"/>
  <c r="J35" i="1"/>
  <c r="I35" i="1"/>
  <c r="H35" i="1"/>
  <c r="G35" i="1"/>
  <c r="F35" i="1"/>
  <c r="E35" i="1"/>
  <c r="D35" i="1"/>
  <c r="J34" i="1"/>
  <c r="I34" i="1"/>
  <c r="H34" i="1"/>
  <c r="G34" i="1"/>
  <c r="F34" i="1"/>
  <c r="E34" i="1"/>
  <c r="D34" i="1"/>
  <c r="J33" i="1"/>
  <c r="I33" i="1"/>
  <c r="H33" i="1"/>
  <c r="G33" i="1"/>
  <c r="F33" i="1"/>
  <c r="E33" i="1"/>
  <c r="D33" i="1"/>
  <c r="J32" i="1"/>
  <c r="I32" i="1"/>
  <c r="H32" i="1"/>
  <c r="G32" i="1"/>
  <c r="F32" i="1"/>
  <c r="E32" i="1"/>
  <c r="D32" i="1"/>
  <c r="J31" i="1"/>
  <c r="I31" i="1"/>
  <c r="H31" i="1"/>
  <c r="G31" i="1"/>
  <c r="F31" i="1"/>
  <c r="E31" i="1"/>
  <c r="D31" i="1"/>
  <c r="J30" i="1"/>
  <c r="I30" i="1"/>
  <c r="H30" i="1"/>
  <c r="G30" i="1"/>
  <c r="F30" i="1"/>
  <c r="E30" i="1"/>
  <c r="D30" i="1"/>
  <c r="J29" i="1"/>
  <c r="I29" i="1"/>
  <c r="H29" i="1"/>
  <c r="G29" i="1"/>
  <c r="F29" i="1"/>
  <c r="E29" i="1"/>
  <c r="D29" i="1"/>
  <c r="J28" i="1"/>
  <c r="I28" i="1"/>
  <c r="H28" i="1"/>
  <c r="G28" i="1"/>
  <c r="F28" i="1"/>
  <c r="E28" i="1"/>
  <c r="D28" i="1"/>
  <c r="J27" i="1"/>
  <c r="I27" i="1"/>
  <c r="H27" i="1"/>
  <c r="G27" i="1"/>
  <c r="F27" i="1"/>
  <c r="E27" i="1"/>
  <c r="D27" i="1"/>
  <c r="J26" i="1"/>
  <c r="I26" i="1"/>
  <c r="H26" i="1"/>
  <c r="G26" i="1"/>
  <c r="F26" i="1"/>
  <c r="E26" i="1"/>
  <c r="D26" i="1"/>
  <c r="J25" i="1"/>
  <c r="I25" i="1"/>
  <c r="H25" i="1"/>
  <c r="G25" i="1"/>
  <c r="F25" i="1"/>
  <c r="E25" i="1"/>
  <c r="D25" i="1"/>
  <c r="J24" i="1"/>
  <c r="I24" i="1"/>
  <c r="H24" i="1"/>
  <c r="G24" i="1"/>
  <c r="F24" i="1"/>
  <c r="E24" i="1"/>
  <c r="D24" i="1"/>
  <c r="J23" i="1"/>
  <c r="I23" i="1"/>
  <c r="H23" i="1"/>
  <c r="G23" i="1"/>
  <c r="F23" i="1"/>
  <c r="E23" i="1"/>
  <c r="D23" i="1"/>
  <c r="J22" i="1"/>
  <c r="I22" i="1"/>
  <c r="H22" i="1"/>
  <c r="G22" i="1"/>
  <c r="F22" i="1"/>
  <c r="E22" i="1"/>
  <c r="D22" i="1"/>
  <c r="J21" i="1"/>
  <c r="I21" i="1"/>
  <c r="H21" i="1"/>
  <c r="G21" i="1"/>
  <c r="F21" i="1"/>
  <c r="E21" i="1"/>
  <c r="D21" i="1"/>
  <c r="J19" i="1"/>
  <c r="I19" i="1"/>
  <c r="H19" i="1"/>
  <c r="G19" i="1"/>
  <c r="F19" i="1"/>
  <c r="E19" i="1"/>
  <c r="D19" i="1"/>
  <c r="J18" i="1"/>
  <c r="I18" i="1"/>
  <c r="H18" i="1"/>
  <c r="G18" i="1"/>
  <c r="F18" i="1"/>
  <c r="E18" i="1"/>
  <c r="D18" i="1"/>
  <c r="J17" i="1"/>
  <c r="I17" i="1"/>
  <c r="H17" i="1"/>
  <c r="G17" i="1"/>
  <c r="F17" i="1"/>
  <c r="E17" i="1"/>
  <c r="D17" i="1"/>
  <c r="J16" i="1"/>
  <c r="I16" i="1"/>
  <c r="H16" i="1"/>
  <c r="G16" i="1"/>
  <c r="F16" i="1"/>
  <c r="E16" i="1"/>
  <c r="D16" i="1"/>
  <c r="J15" i="1"/>
  <c r="I15" i="1"/>
  <c r="H15" i="1"/>
  <c r="G15" i="1"/>
  <c r="F15" i="1"/>
  <c r="E15" i="1"/>
  <c r="D15" i="1"/>
  <c r="J14" i="1"/>
  <c r="I14" i="1"/>
  <c r="H14" i="1"/>
  <c r="G14" i="1"/>
  <c r="F14" i="1"/>
  <c r="E14" i="1"/>
  <c r="D14" i="1"/>
  <c r="J13" i="1"/>
  <c r="I13" i="1"/>
  <c r="H13" i="1"/>
  <c r="G13" i="1"/>
  <c r="F13" i="1"/>
  <c r="E13" i="1"/>
  <c r="D13" i="1"/>
  <c r="J12" i="1"/>
  <c r="I12" i="1"/>
  <c r="H12" i="1"/>
  <c r="G12" i="1"/>
  <c r="F12" i="1"/>
  <c r="E12" i="1"/>
  <c r="D12" i="1"/>
  <c r="J11" i="1"/>
  <c r="I11" i="1"/>
  <c r="H11" i="1"/>
  <c r="G11" i="1"/>
  <c r="F11" i="1"/>
  <c r="E11" i="1"/>
  <c r="D11" i="1"/>
  <c r="J10" i="1"/>
  <c r="I10" i="1"/>
  <c r="H10" i="1"/>
  <c r="G10" i="1"/>
  <c r="F10" i="1"/>
  <c r="E10" i="1"/>
  <c r="D10" i="1"/>
  <c r="J9" i="1"/>
  <c r="J3" i="1" s="1"/>
  <c r="I9" i="1"/>
  <c r="H9" i="1"/>
  <c r="G9" i="1"/>
  <c r="F9" i="1"/>
  <c r="E9" i="1"/>
  <c r="D9" i="1"/>
  <c r="J8" i="1"/>
  <c r="I8" i="1"/>
  <c r="H8" i="1"/>
  <c r="G8" i="1"/>
  <c r="F8" i="1"/>
  <c r="E8" i="1"/>
  <c r="D8" i="1"/>
  <c r="J7" i="1"/>
  <c r="I7" i="1"/>
  <c r="H7" i="1"/>
  <c r="G7" i="1"/>
  <c r="F7" i="1"/>
  <c r="E7" i="1"/>
  <c r="D7" i="1"/>
  <c r="J6" i="1"/>
  <c r="I6" i="1"/>
  <c r="H6" i="1"/>
  <c r="G6" i="1"/>
  <c r="F6" i="1"/>
  <c r="E6" i="1"/>
  <c r="D6" i="1"/>
  <c r="J5" i="1"/>
  <c r="I5" i="1"/>
  <c r="H5" i="1"/>
  <c r="G5" i="1"/>
  <c r="F5" i="1"/>
  <c r="E5" i="1"/>
  <c r="D5" i="1"/>
  <c r="D3" i="1" s="1"/>
  <c r="J4" i="1"/>
  <c r="I4" i="1"/>
  <c r="H4" i="1"/>
  <c r="G4" i="1"/>
  <c r="F4" i="1"/>
  <c r="E4" i="1"/>
  <c r="D4" i="1"/>
  <c r="J2" i="1"/>
  <c r="I2" i="1"/>
  <c r="H2" i="1"/>
  <c r="G2" i="1"/>
  <c r="F2" i="1"/>
  <c r="E2" i="1"/>
  <c r="D2"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H59" i="3" l="1"/>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39" i="3"/>
  <c r="G39" i="3"/>
  <c r="F39" i="3"/>
  <c r="E39" i="3"/>
  <c r="D39" i="3"/>
  <c r="C39" i="3"/>
  <c r="B39" i="3"/>
  <c r="H38" i="3"/>
  <c r="G38" i="3"/>
  <c r="F38" i="3"/>
  <c r="E38" i="3"/>
  <c r="D38" i="3"/>
  <c r="C38" i="3"/>
  <c r="B38" i="3"/>
  <c r="H37"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AH20" i="6"/>
  <c r="AI20" i="6"/>
  <c r="AC20" i="6"/>
  <c r="AD20" i="6"/>
  <c r="X20" i="6"/>
  <c r="Y20" i="6"/>
  <c r="S20" i="6"/>
  <c r="T20" i="6"/>
  <c r="N20" i="6"/>
  <c r="O20" i="6"/>
  <c r="I20" i="6"/>
  <c r="J20" i="6"/>
  <c r="B20" i="6"/>
  <c r="C20" i="6"/>
  <c r="D20" i="6"/>
  <c r="E20" i="6"/>
  <c r="F20" i="6"/>
  <c r="G20" i="6"/>
  <c r="H20" i="6"/>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C33" i="8"/>
  <c r="D33" i="8"/>
  <c r="E33" i="8"/>
  <c r="F33" i="8"/>
  <c r="G33" i="8"/>
  <c r="H33" i="8"/>
  <c r="C34" i="8"/>
  <c r="D34" i="8"/>
  <c r="E34" i="8"/>
  <c r="F34" i="8"/>
  <c r="G34" i="8"/>
  <c r="H34" i="8"/>
  <c r="C35" i="8"/>
  <c r="D35" i="8"/>
  <c r="E35" i="8"/>
  <c r="F35" i="8"/>
  <c r="G35" i="8"/>
  <c r="H35" i="8"/>
  <c r="C36" i="8"/>
  <c r="D36" i="8"/>
  <c r="E36" i="8"/>
  <c r="F36" i="8"/>
  <c r="G36" i="8"/>
  <c r="H36" i="8"/>
  <c r="C37" i="8"/>
  <c r="D37" i="8"/>
  <c r="E37" i="8"/>
  <c r="F37" i="8"/>
  <c r="G37" i="8"/>
  <c r="H37" i="8"/>
  <c r="C38" i="8"/>
  <c r="D38" i="8"/>
  <c r="E38" i="8"/>
  <c r="F38" i="8"/>
  <c r="G38" i="8"/>
  <c r="H38" i="8"/>
  <c r="C39" i="8"/>
  <c r="D39" i="8"/>
  <c r="E39" i="8"/>
  <c r="F39" i="8"/>
  <c r="G39" i="8"/>
  <c r="H39" i="8"/>
  <c r="C5" i="8"/>
  <c r="D5" i="8"/>
  <c r="E5" i="8"/>
  <c r="F5" i="8"/>
  <c r="G5" i="8"/>
  <c r="H5" i="8"/>
  <c r="C6" i="8"/>
  <c r="D6" i="8"/>
  <c r="E6" i="8"/>
  <c r="F6" i="8"/>
  <c r="G6" i="8"/>
  <c r="H6" i="8"/>
  <c r="C7" i="8"/>
  <c r="D7" i="8"/>
  <c r="E7" i="8"/>
  <c r="F7" i="8"/>
  <c r="G7" i="8"/>
  <c r="H7" i="8"/>
  <c r="C8" i="8"/>
  <c r="D8" i="8"/>
  <c r="E8" i="8"/>
  <c r="F8" i="8"/>
  <c r="G8" i="8"/>
  <c r="H8" i="8"/>
  <c r="C9" i="8"/>
  <c r="D9" i="8"/>
  <c r="E9" i="8"/>
  <c r="F9" i="8"/>
  <c r="G9" i="8"/>
  <c r="H9" i="8"/>
  <c r="C10" i="8"/>
  <c r="D10" i="8"/>
  <c r="E10" i="8"/>
  <c r="F10" i="8"/>
  <c r="G10" i="8"/>
  <c r="H10" i="8"/>
  <c r="C11" i="8"/>
  <c r="D11" i="8"/>
  <c r="E11" i="8"/>
  <c r="F11" i="8"/>
  <c r="G11" i="8"/>
  <c r="H11" i="8"/>
  <c r="C12" i="8"/>
  <c r="D12" i="8"/>
  <c r="E12" i="8"/>
  <c r="F12" i="8"/>
  <c r="G12" i="8"/>
  <c r="H12" i="8"/>
  <c r="C13" i="8"/>
  <c r="D13" i="8"/>
  <c r="E13" i="8"/>
  <c r="F13" i="8"/>
  <c r="G13" i="8"/>
  <c r="H13" i="8"/>
  <c r="C14" i="8"/>
  <c r="D14" i="8"/>
  <c r="E14" i="8"/>
  <c r="F14" i="8"/>
  <c r="G14" i="8"/>
  <c r="H14" i="8"/>
  <c r="C15" i="8"/>
  <c r="D15" i="8"/>
  <c r="E15" i="8"/>
  <c r="F15" i="8"/>
  <c r="G15" i="8"/>
  <c r="H15" i="8"/>
  <c r="C16" i="8"/>
  <c r="D16" i="8"/>
  <c r="E16" i="8"/>
  <c r="F16" i="8"/>
  <c r="G16" i="8"/>
  <c r="H16" i="8"/>
  <c r="C17" i="8"/>
  <c r="D17" i="8"/>
  <c r="E17" i="8"/>
  <c r="F17" i="8"/>
  <c r="G17" i="8"/>
  <c r="H17" i="8"/>
  <c r="C18" i="8"/>
  <c r="D18" i="8"/>
  <c r="E18" i="8"/>
  <c r="F18" i="8"/>
  <c r="G18" i="8"/>
  <c r="H18" i="8"/>
  <c r="C19" i="8"/>
  <c r="D19" i="8"/>
  <c r="E19" i="8"/>
  <c r="F19" i="8"/>
  <c r="G19" i="8"/>
  <c r="H19" i="8"/>
  <c r="B6" i="9" l="1"/>
  <c r="C6" i="9"/>
  <c r="D6" i="9"/>
  <c r="E6" i="9"/>
  <c r="F6" i="9"/>
  <c r="G6" i="9"/>
  <c r="H6" i="9"/>
  <c r="B7" i="9"/>
  <c r="C7" i="9"/>
  <c r="D7" i="9"/>
  <c r="E7" i="9"/>
  <c r="F7" i="9"/>
  <c r="G7" i="9"/>
  <c r="H7" i="9"/>
  <c r="B8" i="9"/>
  <c r="C8" i="9"/>
  <c r="D8" i="9"/>
  <c r="E8" i="9"/>
  <c r="F8" i="9"/>
  <c r="G8" i="9"/>
  <c r="H8" i="9"/>
  <c r="B9" i="9"/>
  <c r="C9" i="9"/>
  <c r="D9" i="9"/>
  <c r="E9" i="9"/>
  <c r="F9" i="9"/>
  <c r="G9" i="9"/>
  <c r="H9" i="9"/>
  <c r="B10" i="9"/>
  <c r="C10" i="9"/>
  <c r="D10" i="9"/>
  <c r="E10" i="9"/>
  <c r="F10" i="9"/>
  <c r="G10" i="9"/>
  <c r="H10" i="9"/>
  <c r="B11" i="9"/>
  <c r="C11" i="9"/>
  <c r="D11" i="9"/>
  <c r="E11" i="9"/>
  <c r="F11" i="9"/>
  <c r="G11" i="9"/>
  <c r="H11" i="9"/>
  <c r="B12" i="9"/>
  <c r="C12" i="9"/>
  <c r="D12" i="9"/>
  <c r="E12" i="9"/>
  <c r="F12" i="9"/>
  <c r="G12" i="9"/>
  <c r="H12" i="9"/>
  <c r="B13" i="9"/>
  <c r="C13" i="9"/>
  <c r="D13" i="9"/>
  <c r="E13" i="9"/>
  <c r="F13" i="9"/>
  <c r="G13" i="9"/>
  <c r="H13" i="9"/>
  <c r="B14" i="9"/>
  <c r="C14" i="9"/>
  <c r="D14" i="9"/>
  <c r="E14" i="9"/>
  <c r="F14" i="9"/>
  <c r="G14" i="9"/>
  <c r="H14" i="9"/>
  <c r="B15" i="9"/>
  <c r="C15" i="9"/>
  <c r="D15" i="9"/>
  <c r="E15" i="9"/>
  <c r="F15" i="9"/>
  <c r="G15" i="9"/>
  <c r="H15" i="9"/>
  <c r="B16" i="9"/>
  <c r="C16" i="9"/>
  <c r="D16" i="9"/>
  <c r="E16" i="9"/>
  <c r="F16" i="9"/>
  <c r="G16" i="9"/>
  <c r="H16" i="9"/>
  <c r="B17" i="9"/>
  <c r="C17" i="9"/>
  <c r="D17" i="9"/>
  <c r="E17" i="9"/>
  <c r="F17" i="9"/>
  <c r="G17" i="9"/>
  <c r="H17" i="9"/>
  <c r="B18" i="9"/>
  <c r="C18" i="9"/>
  <c r="D18" i="9"/>
  <c r="E18" i="9"/>
  <c r="F18" i="9"/>
  <c r="G18" i="9"/>
  <c r="H18" i="9"/>
  <c r="B19" i="9"/>
  <c r="C19" i="9"/>
  <c r="D19" i="9"/>
  <c r="E19" i="9"/>
  <c r="F19" i="9"/>
  <c r="G19" i="9"/>
  <c r="H19" i="9"/>
  <c r="C5" i="9"/>
  <c r="D5" i="9"/>
  <c r="E5" i="9"/>
  <c r="F5" i="9"/>
  <c r="G5" i="9"/>
  <c r="H5" i="9"/>
  <c r="B5" i="9"/>
  <c r="O6" i="9" l="1"/>
  <c r="B40" i="11" l="1"/>
  <c r="F40" i="11"/>
  <c r="E40" i="11"/>
  <c r="H40" i="11"/>
  <c r="C40" i="11"/>
  <c r="G40" i="11"/>
  <c r="D40" i="11"/>
  <c r="AG6" i="6"/>
  <c r="AG7" i="6"/>
  <c r="AG8" i="6"/>
  <c r="AG9" i="6"/>
  <c r="AG10" i="6"/>
  <c r="AG11" i="6"/>
  <c r="AG12" i="6"/>
  <c r="AG13" i="6"/>
  <c r="AG14" i="6"/>
  <c r="AG15" i="6"/>
  <c r="AG16" i="6"/>
  <c r="AG17" i="6"/>
  <c r="AG18" i="6"/>
  <c r="AG19" i="6"/>
  <c r="AG5" i="6"/>
  <c r="AB6" i="6"/>
  <c r="AB7" i="6"/>
  <c r="AB8" i="6"/>
  <c r="AB9" i="6"/>
  <c r="AB10" i="6"/>
  <c r="AB11" i="6"/>
  <c r="AB12" i="6"/>
  <c r="AB13" i="6"/>
  <c r="AB14" i="6"/>
  <c r="AB15" i="6"/>
  <c r="AB16" i="6"/>
  <c r="AB17" i="6"/>
  <c r="AB18" i="6"/>
  <c r="AB19" i="6"/>
  <c r="AB5" i="6"/>
  <c r="W6" i="6"/>
  <c r="W7" i="6"/>
  <c r="W8" i="6"/>
  <c r="W9" i="6"/>
  <c r="W10" i="6"/>
  <c r="W11" i="6"/>
  <c r="W12" i="6"/>
  <c r="W13" i="6"/>
  <c r="W14" i="6"/>
  <c r="W15" i="6"/>
  <c r="W16" i="6"/>
  <c r="W17" i="6"/>
  <c r="W18" i="6"/>
  <c r="W19" i="6"/>
  <c r="W5" i="6"/>
  <c r="R6" i="6"/>
  <c r="R7" i="6"/>
  <c r="R8" i="6"/>
  <c r="R9" i="6"/>
  <c r="R10" i="6"/>
  <c r="R11" i="6"/>
  <c r="R12" i="6"/>
  <c r="R13" i="6"/>
  <c r="R14" i="6"/>
  <c r="R15" i="6"/>
  <c r="R16" i="6"/>
  <c r="R17" i="6"/>
  <c r="R18" i="6"/>
  <c r="R19" i="6"/>
  <c r="R5" i="6"/>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N5" i="7"/>
  <c r="P16" i="9"/>
  <c r="O36" i="7"/>
  <c r="M16" i="9"/>
  <c r="L36" i="7"/>
  <c r="Q16" i="9"/>
  <c r="P36" i="7"/>
  <c r="P18" i="7"/>
  <c r="L18" i="9"/>
  <c r="K38" i="7"/>
  <c r="G20" i="7"/>
  <c r="H20" i="7"/>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O16" i="9"/>
  <c r="N36" i="7"/>
  <c r="O30" i="7"/>
  <c r="P10" i="9"/>
  <c r="M18" i="9"/>
  <c r="L38" i="7"/>
  <c r="M27" i="7"/>
  <c r="N7" i="9"/>
  <c r="O27" i="7"/>
  <c r="P7" i="9"/>
  <c r="P28" i="7"/>
  <c r="Q8" i="9"/>
  <c r="P8" i="7"/>
  <c r="F20" i="7"/>
  <c r="C20" i="7"/>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B20" i="7"/>
  <c r="K5" i="7"/>
  <c r="M25" i="7"/>
  <c r="N5" i="9"/>
  <c r="K25" i="7"/>
  <c r="L5" i="9"/>
  <c r="Q5" i="7"/>
  <c r="P25" i="7"/>
  <c r="Q5" i="9"/>
  <c r="P5" i="7"/>
  <c r="L5" i="7"/>
  <c r="O25" i="7"/>
  <c r="P5" i="9"/>
  <c r="M20" i="7" l="1"/>
  <c r="L20" i="7"/>
  <c r="P20" i="7"/>
  <c r="Q20" i="7"/>
  <c r="O20" i="7"/>
  <c r="O40" i="7"/>
  <c r="P20" i="9"/>
  <c r="K40" i="7"/>
  <c r="L20" i="9"/>
  <c r="K20" i="7"/>
  <c r="Q20" i="9"/>
  <c r="P40" i="7"/>
  <c r="R20" i="9"/>
  <c r="Q40" i="7"/>
  <c r="N20" i="7"/>
  <c r="N40" i="7"/>
  <c r="O20" i="9"/>
  <c r="M20" i="9"/>
  <c r="L40" i="7"/>
  <c r="M40" i="7"/>
  <c r="N20"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<sst xmlns="http://schemas.openxmlformats.org/spreadsheetml/2006/main" count="1713" uniqueCount="149">
  <si>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</si>
  <si>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</si>
  <si>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</si>
  <si>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</si>
  <si>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</si>
  <si>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</si>
  <si>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</si>
  <si>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</si>
  <si>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</si>
  <si>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</si>
  <si>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</si>
  <si>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</si>
  <si>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</si>
  <si>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</si>
  <si>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</si>
  <si>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</si>
  <si>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</si>
  <si>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</si>
  <si>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</si>
  <si>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</si>
  <si>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</si>
  <si>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</si>
  <si>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</si>
  <si>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</si>
  <si>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</si>
  <si>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</si>
  <si>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</si>
  <si>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</si>
  <si>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</si>
  <si>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</si>
  <si>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</si>
  <si>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</si>
  <si>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</si>
  <si>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</si>
  <si>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</si>
  <si>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</si>
  <si>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</si>
  <si>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</si>
  <si>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</si>
  <si>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</si>
  <si>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</si>
  <si>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</si>
  <si>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</si>
  <si>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</si>
  <si>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</si>
  <si>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</si>
  <si>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</si>
  <si>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</si>
  <si>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</si>
  <si>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</si>
  <si>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</si>
  <si>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</si>
  <si>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</si>
  <si>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</si>
  <si>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</si>
  <si>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</si>
  <si>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</si>
  <si>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</si>
  <si>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</si>
  <si>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</si>
  <si>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</si>
  <si>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</si>
  <si>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</si>
  <si>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</si>
  <si>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</si>
  <si>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</si>
  <si>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</si>
  <si>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</si>
  <si>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</si>
  <si>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</si>
  <si>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</si>
  <si>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</si>
  <si>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</si>
  <si>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</si>
  <si>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</si>
  <si>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</si>
  <si>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</si>
  <si>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</si>
  <si>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</si>
  <si>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</si>
  <si>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</si>
  <si>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</si>
  <si>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</si>
  <si>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</si>
  <si>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</si>
  <si>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</si>
  <si>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</si>
  <si>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</si>
  <si>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</si>
  <si>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</si>
  <si>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</si>
  <si>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</si>
  <si>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</si>
  <si>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</si>
  <si>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</si>
  <si>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</si>
  <si>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</si>
  <si>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</si>
  <si>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</si>
  <si>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</si>
  <si>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</si>
  <si>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</si>
  <si>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</si>
  <si>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</si>
  <si>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</si>
  <si>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</si>
  <si>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</si>
  <si>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</si>
  <si>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</si>
  <si>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</si>
  <si>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</si>
  <si>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</si>
  <si>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</si>
  <si>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</si>
  <si>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</si>
  <si>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</si>
  <si>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</si>
  <si>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</si>
  <si>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</si>
  <si>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</si>
  <si>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</si>
  <si>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</si>
  <si>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</si>
  <si>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</si>
  <si>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</si>
  <si>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</si>
  <si>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</si>
  <si>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</si>
  <si>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</si>
  <si>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</si>
  <si>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</si>
  <si>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</si>
  <si>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Average Household Size is assumed as a fixed value, by county.  See methods document for more information.</t>
  </si>
  <si>
    <t>Occupancy rate is assumed as a fixed value, by county.  See methods document for more information.</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</si>
  <si>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</si>
  <si>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</si>
  <si>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</si>
  <si>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</si>
  <si>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</si>
  <si>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</si>
  <si>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</si>
  <si>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</si>
  <si>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</si>
  <si>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</si>
  <si>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Updated May 12, 2023</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</si>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</sst>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ersonal/aporr_morpc_org/Documents/morpc-county-controls/data/Population%20by%20age/COHORT_COMP.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N:\DATA\Projections%20and%20Estimates\MORPC%20Projections\Projections%202021\Final%20Analysis\Population%20in%20Households%20and%20Group%20Quarters\GQ%20Projection%20BY%20AGE%20Current%20State%20-%20INTEL.xlsx" TargetMode="External"/><Relationship Id="rId1" Type="http://schemas.openxmlformats.org/officeDocument/2006/relationships/externalLinkPath" Target="file:///N:\DATA\Projections%20and%20Estimates\MORPC%20Projections\Projections%202021\Final%20Analysis\Population%20in%20Households%20and%20Group%20Quarters\GQ%20Projection%20BY%20AGE%20Current%20State%20-%20INTE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N:\DATA\Projections%20and%20Estimates\MORPC%20Projections\Projections%202021\WORKING_MTP20_CountyControls_WEB_2022%20-%20INTEL.xlsx" TargetMode="External"/><Relationship Id="rId1" Type="http://schemas.openxmlformats.org/officeDocument/2006/relationships/externalLinkPath" Target="file:///N:\DATA\Projections%20and%20Estimates\MORPC%20Projections\Projections%202021\WORKING_MTP20_CountyControls_WEB_2022%20-%20INTE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nal%20Analysis/Labor%20Force%20and%20Workers/Projected%20employment%20by%20age%20group%20by%20county%20of%20residence%20-%20INT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sheetData sheetId="1"/>
      <sheetData sheetId="2"/>
      <sheetData sheetId="3"/>
      <sheetData sheetId="4">
        <row r="13">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sheetData sheetId="6"/>
      <sheetData sheetId="7">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ow r="2">
          <cell r="B2">
            <v>78113.695219231391</v>
          </cell>
          <cell r="C2">
            <v>89719.766104351118</v>
          </cell>
          <cell r="D2">
            <v>100786.4646668338</v>
          </cell>
          <cell r="E2">
            <v>112910.20053009153</v>
          </cell>
          <cell r="F2">
            <v>123826.05144436059</v>
          </cell>
          <cell r="G2">
            <v>134137.77592358869</v>
          </cell>
          <cell r="H2">
            <v>144449.5004028168</v>
          </cell>
        </row>
        <row r="3">
          <cell r="B3">
            <v>62896.442235999828</v>
          </cell>
          <cell r="C3">
            <v>66774.813985302928</v>
          </cell>
          <cell r="D3">
            <v>70432.197038148603</v>
          </cell>
          <cell r="E3">
            <v>74525.519541382993</v>
          </cell>
          <cell r="F3">
            <v>78120.107991956596</v>
          </cell>
          <cell r="G3">
            <v>81465.530680950687</v>
          </cell>
          <cell r="H3">
            <v>84810.953369944793</v>
          </cell>
        </row>
        <row r="4">
          <cell r="B4">
            <v>12959.717452026909</v>
          </cell>
          <cell r="C4">
            <v>13174.361781747051</v>
          </cell>
          <cell r="D4">
            <v>13439.723758996004</v>
          </cell>
          <cell r="E4">
            <v>13718.670820404459</v>
          </cell>
          <cell r="F4">
            <v>13981.315780821511</v>
          </cell>
          <cell r="G4">
            <v>14236.262526881512</v>
          </cell>
          <cell r="H4">
            <v>14491.662109080162</v>
          </cell>
        </row>
        <row r="5">
          <cell r="B5">
            <v>567026.18713314983</v>
          </cell>
          <cell r="C5">
            <v>595340.35339157982</v>
          </cell>
          <cell r="D5">
            <v>619735.6599820772</v>
          </cell>
          <cell r="E5">
            <v>650893.37569442706</v>
          </cell>
          <cell r="F5">
            <v>674322.43612113094</v>
          </cell>
          <cell r="G5">
            <v>693886.07388442755</v>
          </cell>
          <cell r="H5">
            <v>713449.71164772403</v>
          </cell>
        </row>
        <row r="6">
          <cell r="B6">
            <v>13309.115498625089</v>
          </cell>
          <cell r="C6">
            <v>13293.161963882822</v>
          </cell>
          <cell r="D6">
            <v>13196.473874535744</v>
          </cell>
          <cell r="E6">
            <v>13133.143176013409</v>
          </cell>
          <cell r="F6">
            <v>13037.90540800654</v>
          </cell>
          <cell r="G6">
            <v>12924.78034347046</v>
          </cell>
          <cell r="H6">
            <v>12812.138719381115</v>
          </cell>
        </row>
        <row r="7">
          <cell r="B7">
            <v>26330.126021833581</v>
          </cell>
          <cell r="C7">
            <v>26913.910895491212</v>
          </cell>
          <cell r="D7">
            <v>27409.770983131602</v>
          </cell>
          <cell r="E7">
            <v>28112.276633848047</v>
          </cell>
          <cell r="F7">
            <v>28578.679686579108</v>
          </cell>
          <cell r="G7">
            <v>28927.700918383594</v>
          </cell>
          <cell r="H7">
            <v>29277.168468898828</v>
          </cell>
        </row>
        <row r="8">
          <cell r="B8">
            <v>72346.914501063555</v>
          </cell>
          <cell r="C8">
            <v>77300.832075846236</v>
          </cell>
          <cell r="D8">
            <v>81266.782979849013</v>
          </cell>
          <cell r="E8">
            <v>87847.013824854686</v>
          </cell>
          <cell r="F8">
            <v>91438.904391870383</v>
          </cell>
          <cell r="G8">
            <v>93537.867545263129</v>
          </cell>
          <cell r="H8">
            <v>95637.244940446544</v>
          </cell>
        </row>
        <row r="9">
          <cell r="B9">
            <v>23837.224136869685</v>
          </cell>
          <cell r="C9">
            <v>23852.914779403171</v>
          </cell>
          <cell r="D9">
            <v>24014.005376080277</v>
          </cell>
          <cell r="E9">
            <v>24198.631936557613</v>
          </cell>
          <cell r="F9">
            <v>24350.831169132412</v>
          </cell>
          <cell r="G9">
            <v>24494.139037604902</v>
          </cell>
          <cell r="H9">
            <v>24637.446906077395</v>
          </cell>
        </row>
        <row r="10">
          <cell r="B10">
            <v>15956.862786278114</v>
          </cell>
          <cell r="C10">
            <v>16926.827031927918</v>
          </cell>
          <cell r="D10">
            <v>17781.024018932389</v>
          </cell>
          <cell r="E10">
            <v>18719.97917744505</v>
          </cell>
          <cell r="F10">
            <v>19562.599438584988</v>
          </cell>
          <cell r="G10">
            <v>20356.018614800658</v>
          </cell>
          <cell r="H10">
            <v>21149.437791016335</v>
          </cell>
        </row>
        <row r="11">
          <cell r="B11">
            <v>27935.025919399246</v>
          </cell>
          <cell r="C11">
            <v>27914.43556609573</v>
          </cell>
          <cell r="D11">
            <v>27848.452843009451</v>
          </cell>
          <cell r="E11">
            <v>27884.953923865691</v>
          </cell>
          <cell r="F11">
            <v>27805.400286102096</v>
          </cell>
          <cell r="G11">
            <v>27665.479476153181</v>
          </cell>
          <cell r="H11">
            <v>27525.558666204266</v>
          </cell>
        </row>
        <row r="12">
          <cell r="B12">
            <v>14258.132048274012</v>
          </cell>
          <cell r="C12">
            <v>14854.121885686371</v>
          </cell>
          <cell r="D12">
            <v>15360.096706275759</v>
          </cell>
          <cell r="E12">
            <v>16041.991285770313</v>
          </cell>
          <cell r="F12">
            <v>16523.304457915052</v>
          </cell>
          <cell r="G12">
            <v>16904.737953858963</v>
          </cell>
          <cell r="H12">
            <v>17286.17144980287</v>
          </cell>
        </row>
        <row r="13">
          <cell r="B13">
            <v>15109.94249394673</v>
          </cell>
          <cell r="C13">
            <v>15715.631641781003</v>
          </cell>
          <cell r="D13">
            <v>15952.397122455384</v>
          </cell>
          <cell r="E13">
            <v>16257.609351179266</v>
          </cell>
          <cell r="F13">
            <v>16484.043247242396</v>
          </cell>
          <cell r="G13">
            <v>16671.73370101336</v>
          </cell>
          <cell r="H13">
            <v>16859.424154784323</v>
          </cell>
        </row>
        <row r="14">
          <cell r="B14">
            <v>21743.751308861367</v>
          </cell>
          <cell r="C14">
            <v>23126.346201310356</v>
          </cell>
          <cell r="D14">
            <v>24437.656708101476</v>
          </cell>
          <cell r="E14">
            <v>25856.095161700472</v>
          </cell>
          <cell r="F14">
            <v>27152.90714937474</v>
          </cell>
          <cell r="G14">
            <v>28388.905904086638</v>
          </cell>
          <cell r="H14">
            <v>29624.904658798539</v>
          </cell>
        </row>
        <row r="15">
          <cell r="B15">
            <v>32137.625149390034</v>
          </cell>
          <cell r="C15">
            <v>31972.705594515974</v>
          </cell>
          <cell r="D15">
            <v>31811.400714817235</v>
          </cell>
          <cell r="E15">
            <v>31674.494892551917</v>
          </cell>
          <cell r="F15">
            <v>31508.671668884028</v>
          </cell>
          <cell r="G15">
            <v>31325.678738133356</v>
          </cell>
          <cell r="H15">
            <v>31142.685807382688</v>
          </cell>
        </row>
        <row r="16">
          <cell r="B16">
            <v>23727.284624451815</v>
          </cell>
          <cell r="C16">
            <v>24980.11714145563</v>
          </cell>
          <cell r="D16">
            <v>27273.721437618511</v>
          </cell>
          <cell r="E16">
            <v>29691.692181539969</v>
          </cell>
          <cell r="F16">
            <v>31967.359009276137</v>
          </cell>
          <cell r="G16">
            <v>34172.073184124405</v>
          </cell>
          <cell r="H16">
            <v>36376.787358972673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227</v>
          </cell>
          <cell r="R3">
            <v>248</v>
          </cell>
          <cell r="S3">
            <v>267</v>
          </cell>
          <cell r="T3">
            <v>284</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470</v>
          </cell>
        </row>
        <row r="7">
          <cell r="N7">
            <v>0</v>
          </cell>
          <cell r="O7">
            <v>0</v>
          </cell>
          <cell r="P7">
            <v>0</v>
          </cell>
          <cell r="Q7">
            <v>0</v>
          </cell>
          <cell r="R7">
            <v>0</v>
          </cell>
          <cell r="S7">
            <v>0</v>
          </cell>
          <cell r="T7">
            <v>0</v>
          </cell>
        </row>
        <row r="8">
          <cell r="N8">
            <v>77</v>
          </cell>
          <cell r="O8">
            <v>79</v>
          </cell>
          <cell r="P8">
            <v>81</v>
          </cell>
          <cell r="Q8">
            <v>84</v>
          </cell>
          <cell r="R8">
            <v>86</v>
          </cell>
          <cell r="S8">
            <v>87</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213</v>
          </cell>
          <cell r="R15">
            <v>218</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55</v>
          </cell>
          <cell r="R17">
            <v>59</v>
          </cell>
          <cell r="S17">
            <v>62</v>
          </cell>
          <cell r="T17">
            <v>64</v>
          </cell>
        </row>
        <row r="21">
          <cell r="N21">
            <v>2304</v>
          </cell>
        </row>
        <row r="39">
          <cell r="N39">
            <v>325</v>
          </cell>
        </row>
        <row r="57">
          <cell r="N57">
            <v>2739</v>
          </cell>
          <cell r="O57">
            <v>3160</v>
          </cell>
          <cell r="P57">
            <v>3549</v>
          </cell>
          <cell r="Q57">
            <v>3976</v>
          </cell>
          <cell r="R57">
            <v>4361</v>
          </cell>
          <cell r="S57">
            <v>4724</v>
          </cell>
          <cell r="T57">
            <v>5087</v>
          </cell>
          <cell r="W57">
            <v>211317.00000000003</v>
          </cell>
          <cell r="X57">
            <v>243759.00000000003</v>
          </cell>
          <cell r="Y57">
            <v>273829</v>
          </cell>
          <cell r="Z57">
            <v>306777.99999999994</v>
          </cell>
          <cell r="AA57">
            <v>336449.99999999988</v>
          </cell>
          <cell r="AB57">
            <v>364470</v>
          </cell>
          <cell r="AC57">
            <v>392486.00000000017</v>
          </cell>
        </row>
        <row r="58">
          <cell r="N58">
            <v>3095</v>
          </cell>
          <cell r="O58">
            <v>3295</v>
          </cell>
          <cell r="P58">
            <v>3475</v>
          </cell>
          <cell r="Q58">
            <v>3677</v>
          </cell>
          <cell r="R58">
            <v>3855</v>
          </cell>
          <cell r="S58">
            <v>4020</v>
          </cell>
          <cell r="T58">
            <v>4185</v>
          </cell>
          <cell r="W58">
            <v>155787</v>
          </cell>
          <cell r="X58">
            <v>165824.00000000003</v>
          </cell>
          <cell r="Y58">
            <v>174891.99999999994</v>
          </cell>
          <cell r="Z58">
            <v>185064</v>
          </cell>
          <cell r="AA58">
            <v>194007</v>
          </cell>
          <cell r="AB58">
            <v>202333</v>
          </cell>
          <cell r="AC58">
            <v>210652.99999999994</v>
          </cell>
        </row>
        <row r="59">
          <cell r="N59">
            <v>320</v>
          </cell>
          <cell r="O59">
            <v>326</v>
          </cell>
          <cell r="P59">
            <v>332</v>
          </cell>
          <cell r="Q59">
            <v>339</v>
          </cell>
          <cell r="R59">
            <v>345</v>
          </cell>
          <cell r="S59">
            <v>352</v>
          </cell>
          <cell r="T59">
            <v>358</v>
          </cell>
          <cell r="W59">
            <v>28616.999999999996</v>
          </cell>
          <cell r="X59">
            <v>29063.000000000004</v>
          </cell>
          <cell r="Y59">
            <v>29631.000000000004</v>
          </cell>
          <cell r="Z59">
            <v>30244.000000000007</v>
          </cell>
          <cell r="AA59">
            <v>30827</v>
          </cell>
          <cell r="AB59">
            <v>31396.999999999996</v>
          </cell>
          <cell r="AC59">
            <v>31968.000000000011</v>
          </cell>
        </row>
        <row r="60">
          <cell r="N60">
            <v>29452</v>
          </cell>
          <cell r="O60">
            <v>30928</v>
          </cell>
          <cell r="P60">
            <v>32195</v>
          </cell>
          <cell r="Q60">
            <v>33814</v>
          </cell>
          <cell r="R60">
            <v>35031</v>
          </cell>
          <cell r="S60">
            <v>36047</v>
          </cell>
          <cell r="T60">
            <v>37064</v>
          </cell>
          <cell r="W60">
            <v>1294211</v>
          </cell>
          <cell r="X60">
            <v>1359097.9999999998</v>
          </cell>
          <cell r="Y60">
            <v>1414771.0000000005</v>
          </cell>
          <cell r="Z60">
            <v>1485774.9999999995</v>
          </cell>
          <cell r="AA60">
            <v>1539205</v>
          </cell>
          <cell r="AB60">
            <v>1583745</v>
          </cell>
          <cell r="AC60">
            <v>1628365.9999999998</v>
          </cell>
        </row>
        <row r="61">
          <cell r="N61">
            <v>470</v>
          </cell>
          <cell r="O61">
            <v>468</v>
          </cell>
          <cell r="P61">
            <v>465</v>
          </cell>
          <cell r="Q61">
            <v>463</v>
          </cell>
          <cell r="R61">
            <v>459</v>
          </cell>
          <cell r="S61">
            <v>455</v>
          </cell>
          <cell r="T61">
            <v>451</v>
          </cell>
          <cell r="W61">
            <v>27573.000000000004</v>
          </cell>
          <cell r="X61">
            <v>27475.000000000011</v>
          </cell>
          <cell r="Y61">
            <v>27266</v>
          </cell>
          <cell r="Z61">
            <v>27131</v>
          </cell>
          <cell r="AA61">
            <v>26933.000000000004</v>
          </cell>
          <cell r="AB61">
            <v>26700.999999999996</v>
          </cell>
          <cell r="AC61">
            <v>26471.999999999993</v>
          </cell>
        </row>
        <row r="62">
          <cell r="N62">
            <v>3768</v>
          </cell>
          <cell r="O62">
            <v>3855</v>
          </cell>
          <cell r="P62">
            <v>3926</v>
          </cell>
          <cell r="Q62">
            <v>4026</v>
          </cell>
          <cell r="R62">
            <v>4093</v>
          </cell>
          <cell r="S62">
            <v>4143</v>
          </cell>
          <cell r="T62">
            <v>4193</v>
          </cell>
          <cell r="W62">
            <v>59015.000000000007</v>
          </cell>
          <cell r="X62">
            <v>60429.000000000015</v>
          </cell>
          <cell r="Y62">
            <v>61576.999999999985</v>
          </cell>
          <cell r="Z62">
            <v>63174</v>
          </cell>
          <cell r="AA62">
            <v>64214.000000000015</v>
          </cell>
          <cell r="AB62">
            <v>64977.000000000029</v>
          </cell>
          <cell r="AC62">
            <v>65744</v>
          </cell>
        </row>
        <row r="63">
          <cell r="N63">
            <v>4027</v>
          </cell>
          <cell r="O63">
            <v>4307</v>
          </cell>
          <cell r="P63">
            <v>4528</v>
          </cell>
          <cell r="Q63">
            <v>4895</v>
          </cell>
          <cell r="R63">
            <v>5095</v>
          </cell>
          <cell r="S63">
            <v>5212</v>
          </cell>
          <cell r="T63">
            <v>5329</v>
          </cell>
          <cell r="W63">
            <v>174466.00000000003</v>
          </cell>
          <cell r="X63">
            <v>186595</v>
          </cell>
          <cell r="Y63">
            <v>196178.99999999994</v>
          </cell>
          <cell r="Z63">
            <v>212063.00000000006</v>
          </cell>
          <cell r="AA63">
            <v>220725</v>
          </cell>
          <cell r="AB63">
            <v>225763.99999999997</v>
          </cell>
          <cell r="AC63">
            <v>230811.99999999994</v>
          </cell>
        </row>
        <row r="64">
          <cell r="N64">
            <v>490</v>
          </cell>
          <cell r="O64">
            <v>489</v>
          </cell>
          <cell r="P64">
            <v>493</v>
          </cell>
          <cell r="Q64">
            <v>496</v>
          </cell>
          <cell r="R64">
            <v>500</v>
          </cell>
          <cell r="S64">
            <v>503</v>
          </cell>
          <cell r="T64">
            <v>505</v>
          </cell>
          <cell r="W64">
            <v>45646.000000000007</v>
          </cell>
          <cell r="X64">
            <v>45560.999999999993</v>
          </cell>
          <cell r="Y64">
            <v>45846</v>
          </cell>
          <cell r="Z64">
            <v>46191.999999999993</v>
          </cell>
          <cell r="AA64">
            <v>46484.000000000007</v>
          </cell>
          <cell r="AB64">
            <v>46762.000000000015</v>
          </cell>
          <cell r="AC64">
            <v>47042.000000000007</v>
          </cell>
        </row>
        <row r="65">
          <cell r="N65">
            <v>5229</v>
          </cell>
          <cell r="O65">
            <v>5547</v>
          </cell>
          <cell r="P65">
            <v>5827</v>
          </cell>
          <cell r="Q65">
            <v>6135</v>
          </cell>
          <cell r="R65">
            <v>6411</v>
          </cell>
          <cell r="S65">
            <v>6671</v>
          </cell>
          <cell r="T65">
            <v>6931</v>
          </cell>
          <cell r="W65">
            <v>38613.000000000015</v>
          </cell>
          <cell r="X65">
            <v>41016.999999999985</v>
          </cell>
          <cell r="Y65">
            <v>43151.000000000007</v>
          </cell>
          <cell r="Z65">
            <v>45460.999999999993</v>
          </cell>
          <cell r="AA65">
            <v>47479.999999999985</v>
          </cell>
          <cell r="AB65">
            <v>49379.000000000007</v>
          </cell>
          <cell r="AC65">
            <v>51290</v>
          </cell>
        </row>
        <row r="66">
          <cell r="N66">
            <v>5667</v>
          </cell>
          <cell r="O66">
            <v>5663</v>
          </cell>
          <cell r="P66">
            <v>5650</v>
          </cell>
          <cell r="Q66">
            <v>5658</v>
          </cell>
          <cell r="R66">
            <v>5641</v>
          </cell>
          <cell r="S66">
            <v>5613</v>
          </cell>
          <cell r="T66">
            <v>5585</v>
          </cell>
          <cell r="W66">
            <v>59737.000000000015</v>
          </cell>
          <cell r="X66">
            <v>59778.999999999993</v>
          </cell>
          <cell r="Y66">
            <v>59667.999999999985</v>
          </cell>
          <cell r="Z66">
            <v>59685.999999999978</v>
          </cell>
          <cell r="AA66">
            <v>59449.000000000007</v>
          </cell>
          <cell r="AB66">
            <v>59128</v>
          </cell>
          <cell r="AC66">
            <v>58832.000000000015</v>
          </cell>
        </row>
        <row r="67">
          <cell r="N67">
            <v>275</v>
          </cell>
          <cell r="O67">
            <v>286</v>
          </cell>
          <cell r="P67">
            <v>296</v>
          </cell>
          <cell r="Q67">
            <v>309</v>
          </cell>
          <cell r="R67">
            <v>319</v>
          </cell>
          <cell r="S67">
            <v>326</v>
          </cell>
          <cell r="T67">
            <v>333</v>
          </cell>
          <cell r="W67">
            <v>34666.999999999993</v>
          </cell>
          <cell r="X67">
            <v>36106</v>
          </cell>
          <cell r="Y67">
            <v>37320.000000000007</v>
          </cell>
          <cell r="Z67">
            <v>38968.999999999993</v>
          </cell>
          <cell r="AA67">
            <v>40134.000000000007</v>
          </cell>
          <cell r="AB67">
            <v>41059.999999999993</v>
          </cell>
          <cell r="AC67">
            <v>41984.999999999993</v>
          </cell>
        </row>
        <row r="68">
          <cell r="N68">
            <v>338</v>
          </cell>
          <cell r="O68">
            <v>352</v>
          </cell>
          <cell r="P68">
            <v>358</v>
          </cell>
          <cell r="Q68">
            <v>365</v>
          </cell>
          <cell r="R68">
            <v>370</v>
          </cell>
          <cell r="S68">
            <v>374</v>
          </cell>
          <cell r="T68">
            <v>378</v>
          </cell>
          <cell r="W68">
            <v>35061</v>
          </cell>
          <cell r="X68">
            <v>36475.999999999993</v>
          </cell>
          <cell r="Y68">
            <v>37008.999999999993</v>
          </cell>
          <cell r="Z68">
            <v>37707.999999999985</v>
          </cell>
          <cell r="AA68">
            <v>38234.999999999985</v>
          </cell>
          <cell r="AB68">
            <v>38673.999999999993</v>
          </cell>
          <cell r="AC68">
            <v>39114.000000000007</v>
          </cell>
        </row>
        <row r="69">
          <cell r="N69">
            <v>4631</v>
          </cell>
          <cell r="O69">
            <v>4932</v>
          </cell>
          <cell r="P69">
            <v>5212</v>
          </cell>
          <cell r="Q69">
            <v>5515</v>
          </cell>
          <cell r="R69">
            <v>5791</v>
          </cell>
          <cell r="S69">
            <v>6055</v>
          </cell>
          <cell r="T69">
            <v>6318</v>
          </cell>
          <cell r="W69">
            <v>53911.999999999985</v>
          </cell>
          <cell r="X69">
            <v>57442.999999999993</v>
          </cell>
          <cell r="Y69">
            <v>60718.000000000007</v>
          </cell>
          <cell r="Z69">
            <v>64246.000000000015</v>
          </cell>
          <cell r="AA69">
            <v>67443</v>
          </cell>
          <cell r="AB69">
            <v>70505</v>
          </cell>
          <cell r="AC69">
            <v>73568</v>
          </cell>
        </row>
        <row r="70">
          <cell r="N70">
            <v>5866</v>
          </cell>
          <cell r="O70">
            <v>5828</v>
          </cell>
          <cell r="P70">
            <v>5799</v>
          </cell>
          <cell r="Q70">
            <v>5774</v>
          </cell>
          <cell r="R70">
            <v>5743</v>
          </cell>
          <cell r="S70">
            <v>5710</v>
          </cell>
          <cell r="T70">
            <v>5677</v>
          </cell>
          <cell r="W70">
            <v>71260</v>
          </cell>
          <cell r="X70">
            <v>70886</v>
          </cell>
          <cell r="Y70">
            <v>70572.999999999985</v>
          </cell>
          <cell r="Z70">
            <v>70281.999999999971</v>
          </cell>
          <cell r="AA70">
            <v>69874.000000000029</v>
          </cell>
          <cell r="AB70">
            <v>69455</v>
          </cell>
          <cell r="AC70">
            <v>69033</v>
          </cell>
        </row>
        <row r="71">
          <cell r="N71">
            <v>3536</v>
          </cell>
          <cell r="O71">
            <v>3740</v>
          </cell>
          <cell r="P71">
            <v>4083</v>
          </cell>
          <cell r="Q71">
            <v>4445</v>
          </cell>
          <cell r="R71">
            <v>4786</v>
          </cell>
          <cell r="S71">
            <v>5116</v>
          </cell>
          <cell r="T71">
            <v>5446</v>
          </cell>
          <cell r="W71">
            <v>59177</v>
          </cell>
          <cell r="X71">
            <v>62642</v>
          </cell>
          <cell r="Y71">
            <v>68465</v>
          </cell>
          <cell r="Z71">
            <v>74577.999999999956</v>
          </cell>
          <cell r="AA71">
            <v>80292.999999999971</v>
          </cell>
          <cell r="AB71">
            <v>85777.000000000015</v>
          </cell>
          <cell r="AC71">
            <v>91259.999999999956</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tal Population"/>
      <sheetName val="Population by Age"/>
      <sheetName val="Group Quarters and Households"/>
      <sheetName val="Household Population by Age"/>
      <sheetName val="Households and Housing Units"/>
      <sheetName val="Residential Labor Force"/>
      <sheetName val="Jobs"/>
      <sheetName val="All Data (Unformatted)"/>
      <sheetName val="All Data (not Formula)"/>
      <sheetName val="Variable Dictionary"/>
    </sheetNames>
    <sheetDataSet>
      <sheetData sheetId="0">
        <row r="5">
          <cell r="F5">
            <v>215062</v>
          </cell>
          <cell r="H5">
            <v>247016</v>
          </cell>
          <cell r="J5">
            <v>277484</v>
          </cell>
          <cell r="L5">
            <v>310863</v>
          </cell>
          <cell r="N5">
            <v>340917</v>
          </cell>
          <cell r="P5">
            <v>369307</v>
          </cell>
          <cell r="R5">
            <v>397697</v>
          </cell>
        </row>
        <row r="6">
          <cell r="F6">
            <v>159357</v>
          </cell>
          <cell r="H6">
            <v>169183</v>
          </cell>
          <cell r="J6">
            <v>178449</v>
          </cell>
          <cell r="L6">
            <v>188820</v>
          </cell>
          <cell r="N6">
            <v>197928</v>
          </cell>
          <cell r="P6">
            <v>206404</v>
          </cell>
          <cell r="R6">
            <v>214880</v>
          </cell>
        </row>
        <row r="7">
          <cell r="F7">
            <v>28939</v>
          </cell>
          <cell r="H7">
            <v>29419</v>
          </cell>
          <cell r="J7">
            <v>30011</v>
          </cell>
          <cell r="L7">
            <v>30634</v>
          </cell>
          <cell r="N7">
            <v>31220</v>
          </cell>
          <cell r="P7">
            <v>31790</v>
          </cell>
          <cell r="R7">
            <v>32360</v>
          </cell>
        </row>
        <row r="8">
          <cell r="F8">
            <v>1324013</v>
          </cell>
          <cell r="H8">
            <v>1390127</v>
          </cell>
          <cell r="J8">
            <v>1447090</v>
          </cell>
          <cell r="L8">
            <v>1519844</v>
          </cell>
          <cell r="N8">
            <v>1574551</v>
          </cell>
          <cell r="P8">
            <v>1620232</v>
          </cell>
          <cell r="R8">
            <v>1665914</v>
          </cell>
        </row>
        <row r="9">
          <cell r="F9">
            <v>27999</v>
          </cell>
          <cell r="H9">
            <v>27965</v>
          </cell>
          <cell r="J9">
            <v>27762</v>
          </cell>
          <cell r="L9">
            <v>27629</v>
          </cell>
          <cell r="N9">
            <v>27428</v>
          </cell>
          <cell r="P9">
            <v>27190</v>
          </cell>
          <cell r="R9">
            <v>26953</v>
          </cell>
        </row>
        <row r="10">
          <cell r="F10">
            <v>62765</v>
          </cell>
          <cell r="H10">
            <v>64157</v>
          </cell>
          <cell r="J10">
            <v>65339</v>
          </cell>
          <cell r="L10">
            <v>67013</v>
          </cell>
          <cell r="N10">
            <v>68125</v>
          </cell>
          <cell r="P10">
            <v>68957</v>
          </cell>
          <cell r="R10">
            <v>69790</v>
          </cell>
        </row>
        <row r="11">
          <cell r="F11">
            <v>178680</v>
          </cell>
          <cell r="H11">
            <v>190915</v>
          </cell>
          <cell r="J11">
            <v>200710</v>
          </cell>
          <cell r="L11">
            <v>216962</v>
          </cell>
          <cell r="N11">
            <v>225833</v>
          </cell>
          <cell r="P11">
            <v>231017</v>
          </cell>
          <cell r="R11">
            <v>236202</v>
          </cell>
        </row>
        <row r="12">
          <cell r="F12">
            <v>46065</v>
          </cell>
          <cell r="H12">
            <v>46095</v>
          </cell>
          <cell r="J12">
            <v>46407</v>
          </cell>
          <cell r="L12">
            <v>46763</v>
          </cell>
          <cell r="N12">
            <v>47058</v>
          </cell>
          <cell r="P12">
            <v>47335</v>
          </cell>
          <cell r="R12">
            <v>47611</v>
          </cell>
        </row>
        <row r="13">
          <cell r="F13">
            <v>43823</v>
          </cell>
          <cell r="H13">
            <v>46487</v>
          </cell>
          <cell r="J13">
            <v>48833</v>
          </cell>
          <cell r="L13">
            <v>51412</v>
          </cell>
          <cell r="N13">
            <v>53726</v>
          </cell>
          <cell r="P13">
            <v>55905</v>
          </cell>
          <cell r="R13">
            <v>58084</v>
          </cell>
        </row>
        <row r="14">
          <cell r="F14">
            <v>65363</v>
          </cell>
          <cell r="H14">
            <v>65314</v>
          </cell>
          <cell r="J14">
            <v>65160</v>
          </cell>
          <cell r="L14">
            <v>65246</v>
          </cell>
          <cell r="N14">
            <v>65059</v>
          </cell>
          <cell r="P14">
            <v>64732</v>
          </cell>
          <cell r="R14">
            <v>64405</v>
          </cell>
        </row>
        <row r="15">
          <cell r="F15">
            <v>34964</v>
          </cell>
          <cell r="H15">
            <v>36425</v>
          </cell>
          <cell r="J15">
            <v>37666</v>
          </cell>
          <cell r="L15">
            <v>39338</v>
          </cell>
          <cell r="N15">
            <v>40519</v>
          </cell>
          <cell r="P15">
            <v>41454</v>
          </cell>
          <cell r="R15">
            <v>42389</v>
          </cell>
        </row>
        <row r="16">
          <cell r="F16">
            <v>35439</v>
          </cell>
          <cell r="H16">
            <v>36859</v>
          </cell>
          <cell r="J16">
            <v>37415</v>
          </cell>
          <cell r="L16">
            <v>38131</v>
          </cell>
          <cell r="N16">
            <v>38662</v>
          </cell>
          <cell r="P16">
            <v>39102</v>
          </cell>
          <cell r="R16">
            <v>39542</v>
          </cell>
        </row>
        <row r="17">
          <cell r="F17">
            <v>58628</v>
          </cell>
          <cell r="H17">
            <v>62355</v>
          </cell>
          <cell r="J17">
            <v>65891</v>
          </cell>
          <cell r="L17">
            <v>69716</v>
          </cell>
          <cell r="N17">
            <v>73212</v>
          </cell>
          <cell r="P17">
            <v>76545</v>
          </cell>
          <cell r="R17">
            <v>79877</v>
          </cell>
        </row>
        <row r="18">
          <cell r="F18">
            <v>76985</v>
          </cell>
          <cell r="H18">
            <v>76590</v>
          </cell>
          <cell r="J18">
            <v>76204</v>
          </cell>
          <cell r="L18">
            <v>75876</v>
          </cell>
          <cell r="N18">
            <v>75478</v>
          </cell>
          <cell r="P18">
            <v>75040</v>
          </cell>
          <cell r="R18">
            <v>74602</v>
          </cell>
        </row>
        <row r="19">
          <cell r="F19">
            <v>63077</v>
          </cell>
          <cell r="H19">
            <v>66408</v>
          </cell>
          <cell r="J19">
            <v>72505</v>
          </cell>
          <cell r="L19">
            <v>78933</v>
          </cell>
          <cell r="N19">
            <v>84983</v>
          </cell>
          <cell r="P19">
            <v>90844</v>
          </cell>
          <cell r="R19">
            <v>96705</v>
          </cell>
        </row>
        <row r="20">
          <cell r="F20">
            <v>2421159</v>
          </cell>
          <cell r="H20">
            <v>2555315</v>
          </cell>
          <cell r="J20">
            <v>2676926</v>
          </cell>
          <cell r="L20">
            <v>2827180</v>
          </cell>
          <cell r="N20">
            <v>2944699</v>
          </cell>
          <cell r="P20">
            <v>3045854</v>
          </cell>
          <cell r="R20">
            <v>3147011</v>
          </cell>
        </row>
      </sheetData>
      <sheetData sheetId="1">
        <row r="5">
          <cell r="B5">
            <v>53637.583726832556</v>
          </cell>
          <cell r="C5">
            <v>57994.211467654452</v>
          </cell>
          <cell r="D5">
            <v>62696.39684578064</v>
          </cell>
          <cell r="E5">
            <v>68656.155709672006</v>
          </cell>
          <cell r="F5">
            <v>74832.973531533033</v>
          </cell>
          <cell r="G5">
            <v>80559.681834548057</v>
          </cell>
          <cell r="H5">
            <v>85899.512780252422</v>
          </cell>
        </row>
        <row r="6">
          <cell r="B6">
            <v>37412.736271349422</v>
          </cell>
          <cell r="C6">
            <v>39947.978376774852</v>
          </cell>
          <cell r="D6">
            <v>42517.10632611662</v>
          </cell>
          <cell r="E6">
            <v>45382.283996553808</v>
          </cell>
          <cell r="F6">
            <v>47720.957096687824</v>
          </cell>
          <cell r="G6">
            <v>49780.842434346465</v>
          </cell>
          <cell r="H6">
            <v>51781.732864178513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309773.5209525972</v>
          </cell>
          <cell r="C8">
            <v>324853.43943582271</v>
          </cell>
          <cell r="D8">
            <v>336050.41319176171</v>
          </cell>
          <cell r="E8">
            <v>348290.69854237244</v>
          </cell>
          <cell r="F8">
            <v>359621.99877919804</v>
          </cell>
          <cell r="G8">
            <v>366526.57285475254</v>
          </cell>
          <cell r="H8">
            <v>375575.21344734944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14931.415922900182</v>
          </cell>
          <cell r="C10">
            <v>15282.266136525253</v>
          </cell>
          <cell r="D10">
            <v>15552.644154498597</v>
          </cell>
          <cell r="E10">
            <v>16137.808243659973</v>
          </cell>
          <cell r="F10">
            <v>16567.424573853037</v>
          </cell>
          <cell r="G10">
            <v>16855.684097150177</v>
          </cell>
          <cell r="H10">
            <v>17131.832716342447</v>
          </cell>
        </row>
        <row r="11">
          <cell r="B11">
            <v>41098.689665076068</v>
          </cell>
          <cell r="C11">
            <v>43793.054880020369</v>
          </cell>
          <cell r="D11">
            <v>45864.897357579212</v>
          </cell>
          <cell r="E11">
            <v>49473.022784910907</v>
          </cell>
          <cell r="F11">
            <v>51485.736870259097</v>
          </cell>
          <cell r="G11">
            <v>52211.186408954476</v>
          </cell>
          <cell r="H11">
            <v>52939.902274758904</v>
          </cell>
        </row>
        <row r="12">
          <cell r="B12">
            <v>10359.89182630824</v>
          </cell>
          <cell r="C12">
            <v>10139.05936041166</v>
          </cell>
          <cell r="D12">
            <v>10007.720969654029</v>
          </cell>
          <cell r="E12">
            <v>10026.268703629374</v>
          </cell>
          <cell r="F12">
            <v>10017.345256303168</v>
          </cell>
          <cell r="G12">
            <v>9939.5064022475126</v>
          </cell>
          <cell r="H12">
            <v>9832.3658346794327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13770.130256413764</v>
          </cell>
          <cell r="C14">
            <v>13780.254207080172</v>
          </cell>
          <cell r="D14">
            <v>13630.834774321616</v>
          </cell>
          <cell r="E14">
            <v>13168.756824930993</v>
          </cell>
          <cell r="F14">
            <v>12846.025240378467</v>
          </cell>
          <cell r="G14">
            <v>12951.087630134394</v>
          </cell>
          <cell r="H14">
            <v>13179.203078176775</v>
          </cell>
        </row>
        <row r="15">
          <cell r="B15">
            <v>7663.3220727341277</v>
          </cell>
          <cell r="C15">
            <v>7442.8843591855903</v>
          </cell>
          <cell r="D15">
            <v>7508.5004466347245</v>
          </cell>
          <cell r="E15">
            <v>7844.7035497815959</v>
          </cell>
          <cell r="F15">
            <v>7990.7423945505861</v>
          </cell>
          <cell r="G15">
            <v>8010.728679254441</v>
          </cell>
          <cell r="H15">
            <v>7951.6397024779972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12481.485191957145</v>
          </cell>
          <cell r="C17">
            <v>12793.193021688647</v>
          </cell>
          <cell r="D17">
            <v>13146.834562919956</v>
          </cell>
          <cell r="E17">
            <v>13574.403106266223</v>
          </cell>
          <cell r="F17">
            <v>13898.212626463008</v>
          </cell>
          <cell r="G17">
            <v>14492.295430841039</v>
          </cell>
          <cell r="H17">
            <v>15181.179947283839</v>
          </cell>
        </row>
        <row r="18">
          <cell r="B18">
            <v>16056.42728784206</v>
          </cell>
          <cell r="C18">
            <v>15672.694818639011</v>
          </cell>
          <cell r="D18">
            <v>15226.855419692933</v>
          </cell>
          <cell r="E18">
            <v>15027.689243558001</v>
          </cell>
          <cell r="F18">
            <v>14687.23015868631</v>
          </cell>
          <cell r="G18">
            <v>14712.736102732644</v>
          </cell>
          <cell r="H18">
            <v>14784.499000366382</v>
          </cell>
        </row>
        <row r="19">
          <cell r="B19">
            <v>15071.25030115564</v>
          </cell>
          <cell r="C19">
            <v>16083.347970209572</v>
          </cell>
          <cell r="D19">
            <v>17995.235207177706</v>
          </cell>
          <cell r="E19">
            <v>19991.599887105269</v>
          </cell>
          <cell r="F19">
            <v>21634.900115514207</v>
          </cell>
          <cell r="G19">
            <v>22646.108671687452</v>
          </cell>
          <cell r="H19">
            <v>23535.020220866241</v>
          </cell>
        </row>
        <row r="20">
          <cell r="B20">
            <v>561826.45288235426</v>
          </cell>
          <cell r="C20">
            <v>587633.06030685722</v>
          </cell>
          <cell r="D20">
            <v>610028.73811556818</v>
          </cell>
          <cell r="E20">
            <v>637801.94637699949</v>
          </cell>
          <cell r="F20">
            <v>661948.88657091977</v>
          </cell>
          <cell r="G20">
            <v>679932.33754761936</v>
          </cell>
          <cell r="H20">
            <v>699693.24257626012</v>
          </cell>
        </row>
        <row r="25">
          <cell r="B25">
            <v>128972.52601590233</v>
          </cell>
          <cell r="C25">
            <v>147623.24423133634</v>
          </cell>
          <cell r="D25">
            <v>162957.84384566068</v>
          </cell>
          <cell r="E25">
            <v>179944.12319771305</v>
          </cell>
          <cell r="F25">
            <v>195084.78183376222</v>
          </cell>
          <cell r="G25">
            <v>210691.53274779941</v>
          </cell>
          <cell r="H25">
            <v>226432.50231069018</v>
          </cell>
        </row>
        <row r="26">
          <cell r="B26">
            <v>95313.150585371244</v>
          </cell>
          <cell r="C26">
            <v>99312.335500189089</v>
          </cell>
          <cell r="D26">
            <v>102543.14077227309</v>
          </cell>
          <cell r="E26">
            <v>108077.37830183574</v>
          </cell>
          <cell r="F26">
            <v>114186.18698681684</v>
          </cell>
          <cell r="G26">
            <v>120539.30629321747</v>
          </cell>
          <cell r="H26">
            <v>126510.67234646523</v>
          </cell>
        </row>
        <row r="27">
          <cell r="B27">
            <v>16983.627677665423</v>
          </cell>
          <cell r="C27">
            <v>16999.060927796196</v>
          </cell>
          <cell r="D27">
            <v>17271.915069246417</v>
          </cell>
          <cell r="E27">
            <v>17603.343119206827</v>
          </cell>
          <cell r="F27">
            <v>17904.57881490306</v>
          </cell>
          <cell r="G27">
            <v>18288.655285276149</v>
          </cell>
          <cell r="H27">
            <v>18699.186875287673</v>
          </cell>
        </row>
        <row r="28">
          <cell r="B28">
            <v>846255.02510575601</v>
          </cell>
          <cell r="C28">
            <v>871038.09728373564</v>
          </cell>
          <cell r="D28">
            <v>897085.84436772089</v>
          </cell>
          <cell r="E28">
            <v>945272.28458394075</v>
          </cell>
          <cell r="F28">
            <v>985153.43629214843</v>
          </cell>
          <cell r="G28">
            <v>1022277.1046496063</v>
          </cell>
          <cell r="H28">
            <v>1051047.24498198</v>
          </cell>
        </row>
        <row r="29">
          <cell r="B29">
            <v>16449.806948650843</v>
          </cell>
          <cell r="C29">
            <v>15903.747643817633</v>
          </cell>
          <cell r="D29">
            <v>15290.346796202131</v>
          </cell>
          <cell r="E29">
            <v>15073.05592717024</v>
          </cell>
          <cell r="F29">
            <v>14935.527801949182</v>
          </cell>
          <cell r="G29">
            <v>14974.691804210957</v>
          </cell>
          <cell r="H29">
            <v>15040.209855250527</v>
          </cell>
        </row>
        <row r="30">
          <cell r="B30">
            <v>35946.314336779753</v>
          </cell>
          <cell r="C30">
            <v>35388.544455171825</v>
          </cell>
          <cell r="D30">
            <v>35251.024123720752</v>
          </cell>
          <cell r="E30">
            <v>35892.691467978351</v>
          </cell>
          <cell r="F30">
            <v>36798.498938120814</v>
          </cell>
          <cell r="G30">
            <v>37801.843992272275</v>
          </cell>
          <cell r="H30">
            <v>38702.448857707903</v>
          </cell>
        </row>
        <row r="31">
          <cell r="B31">
            <v>106701.20986889364</v>
          </cell>
          <cell r="C31">
            <v>111272.46297250778</v>
          </cell>
          <cell r="D31">
            <v>114734.62358908379</v>
          </cell>
          <cell r="E31">
            <v>123803.2943652876</v>
          </cell>
          <cell r="F31">
            <v>130275.10695106082</v>
          </cell>
          <cell r="G31">
            <v>135753.07246531182</v>
          </cell>
          <cell r="H31">
            <v>140178.63781984075</v>
          </cell>
        </row>
        <row r="32">
          <cell r="B32">
            <v>26948.238165308059</v>
          </cell>
          <cell r="C32">
            <v>26158.491733831775</v>
          </cell>
          <cell r="D32">
            <v>25765.020485443973</v>
          </cell>
          <cell r="E32">
            <v>25825.099277703652</v>
          </cell>
          <cell r="F32">
            <v>26081.728849059517</v>
          </cell>
          <cell r="G32">
            <v>26530.515076389842</v>
          </cell>
          <cell r="H32">
            <v>27061.647651174069</v>
          </cell>
        </row>
        <row r="33">
          <cell r="B33">
            <v>27804.531208140688</v>
          </cell>
          <cell r="C33">
            <v>28926.860440931669</v>
          </cell>
          <cell r="D33">
            <v>29783.178997949472</v>
          </cell>
          <cell r="E33">
            <v>31056.469004496848</v>
          </cell>
          <cell r="F33">
            <v>32561.324877176972</v>
          </cell>
          <cell r="G33">
            <v>34078.778106326507</v>
          </cell>
          <cell r="H33">
            <v>35516.833600953512</v>
          </cell>
        </row>
        <row r="34">
          <cell r="B34">
            <v>39416.487022203961</v>
          </cell>
          <cell r="C34">
            <v>38143.638704776204</v>
          </cell>
          <cell r="D34">
            <v>37481.507007892811</v>
          </cell>
          <cell r="E34">
            <v>38060.962090151646</v>
          </cell>
          <cell r="F34">
            <v>38724.84514132909</v>
          </cell>
          <cell r="G34">
            <v>39031.52146634346</v>
          </cell>
          <cell r="H34">
            <v>39028.715217497484</v>
          </cell>
        </row>
        <row r="35">
          <cell r="B35">
            <v>20811.092657152058</v>
          </cell>
          <cell r="C35">
            <v>21201.973165368152</v>
          </cell>
          <cell r="D35">
            <v>21385.608875306643</v>
          </cell>
          <cell r="E35">
            <v>21937.623169395712</v>
          </cell>
          <cell r="F35">
            <v>22481.664388449684</v>
          </cell>
          <cell r="G35">
            <v>23148.328332197012</v>
          </cell>
          <cell r="H35">
            <v>23961.810649045547</v>
          </cell>
        </row>
        <row r="36">
          <cell r="B36">
            <v>21100.122251132932</v>
          </cell>
          <cell r="C36">
            <v>21180.442319527931</v>
          </cell>
          <cell r="D36">
            <v>21008.19249324215</v>
          </cell>
          <cell r="E36">
            <v>21171.553537854961</v>
          </cell>
          <cell r="F36">
            <v>21556.468218630245</v>
          </cell>
          <cell r="G36">
            <v>21997.724903156111</v>
          </cell>
          <cell r="H36">
            <v>22373.935994145213</v>
          </cell>
        </row>
        <row r="37">
          <cell r="B37">
            <v>36431.083732997664</v>
          </cell>
          <cell r="C37">
            <v>38391.019469849693</v>
          </cell>
          <cell r="D37">
            <v>40177.559998996156</v>
          </cell>
          <cell r="E37">
            <v>42345.065411847834</v>
          </cell>
          <cell r="F37">
            <v>44690.924474857857</v>
          </cell>
          <cell r="G37">
            <v>46824.236139990819</v>
          </cell>
          <cell r="H37">
            <v>48980.815128030124</v>
          </cell>
        </row>
        <row r="38">
          <cell r="B38">
            <v>47389.437093210021</v>
          </cell>
          <cell r="C38">
            <v>45728.388239464359</v>
          </cell>
          <cell r="D38">
            <v>44736.636167965698</v>
          </cell>
          <cell r="E38">
            <v>44313.065475272546</v>
          </cell>
          <cell r="F38">
            <v>44512.237658149024</v>
          </cell>
          <cell r="G38">
            <v>44463.018385636904</v>
          </cell>
          <cell r="H38">
            <v>44507.235961160455</v>
          </cell>
        </row>
        <row r="39">
          <cell r="B39">
            <v>39442.805779216229</v>
          </cell>
          <cell r="C39">
            <v>40694.006823047195</v>
          </cell>
          <cell r="D39">
            <v>43146.569735005018</v>
          </cell>
          <cell r="E39">
            <v>46320.469957051275</v>
          </cell>
          <cell r="F39">
            <v>49981.587827589668</v>
          </cell>
          <cell r="G39">
            <v>54245.969114675332</v>
          </cell>
          <cell r="H39">
            <v>58482.463955111933</v>
          </cell>
        </row>
        <row r="40">
          <cell r="B40">
            <v>1505965.4584483812</v>
          </cell>
          <cell r="C40">
            <v>1557962.3139113518</v>
          </cell>
          <cell r="D40">
            <v>1608619.0123257095</v>
          </cell>
          <cell r="E40">
            <v>1696696.4788869068</v>
          </cell>
          <cell r="F40">
            <v>1774928.8990540032</v>
          </cell>
          <cell r="G40">
            <v>1850646.2987624097</v>
          </cell>
          <cell r="H40">
            <v>1916524.3612043406</v>
          </cell>
        </row>
        <row r="45">
          <cell r="B45">
            <v>31513.890257265142</v>
          </cell>
          <cell r="C45">
            <v>41398.544301009242</v>
          </cell>
          <cell r="D45">
            <v>51829.759308558663</v>
          </cell>
          <cell r="E45">
            <v>62262.721092614869</v>
          </cell>
          <cell r="F45">
            <v>70999.244634704635</v>
          </cell>
          <cell r="G45">
            <v>78055.785417652514</v>
          </cell>
          <cell r="H45">
            <v>85364.98490905753</v>
          </cell>
        </row>
        <row r="46">
          <cell r="B46">
            <v>26195.113143279337</v>
          </cell>
          <cell r="C46">
            <v>29922.686123036088</v>
          </cell>
          <cell r="D46">
            <v>33388.752901610227</v>
          </cell>
          <cell r="E46">
            <v>35360.337701610464</v>
          </cell>
          <cell r="F46">
            <v>36020.855916495333</v>
          </cell>
          <cell r="G46">
            <v>36083.85127243607</v>
          </cell>
          <cell r="H46">
            <v>36587.594789356197</v>
          </cell>
        </row>
        <row r="47">
          <cell r="B47">
            <v>5350.7534203436089</v>
          </cell>
          <cell r="C47">
            <v>5802.6053720202281</v>
          </cell>
          <cell r="D47">
            <v>6228.7671091791899</v>
          </cell>
          <cell r="E47">
            <v>6413.7867733094508</v>
          </cell>
          <cell r="F47">
            <v>6459.3258222378954</v>
          </cell>
          <cell r="G47">
            <v>6409.9989599343799</v>
          </cell>
          <cell r="H47">
            <v>6370.6847986912835</v>
          </cell>
        </row>
        <row r="48">
          <cell r="B48">
            <v>167778.45394164682</v>
          </cell>
          <cell r="C48">
            <v>194235.46328044147</v>
          </cell>
          <cell r="D48">
            <v>213953.74244051767</v>
          </cell>
          <cell r="E48">
            <v>226281.01687368637</v>
          </cell>
          <cell r="F48">
            <v>229775.56492865359</v>
          </cell>
          <cell r="G48">
            <v>231428.32249564119</v>
          </cell>
          <cell r="H48">
            <v>239291.5415706705</v>
          </cell>
        </row>
        <row r="49">
          <cell r="B49">
            <v>5593.0272290443136</v>
          </cell>
          <cell r="C49">
            <v>6165.6466119667039</v>
          </cell>
          <cell r="D49">
            <v>6600.1961567952985</v>
          </cell>
          <cell r="E49">
            <v>6757.5646476136571</v>
          </cell>
          <cell r="F49">
            <v>6734.3183009183094</v>
          </cell>
          <cell r="G49">
            <v>6540.9814231031341</v>
          </cell>
          <cell r="H49">
            <v>6302.2033831853487</v>
          </cell>
        </row>
        <row r="50">
          <cell r="B50">
            <v>11843.269740320073</v>
          </cell>
          <cell r="C50">
            <v>13486.189408302933</v>
          </cell>
          <cell r="D50">
            <v>14535.331721780642</v>
          </cell>
          <cell r="E50">
            <v>14982.500288361678</v>
          </cell>
          <cell r="F50">
            <v>14759.076488026163</v>
          </cell>
          <cell r="G50">
            <v>14299.471910577578</v>
          </cell>
          <cell r="H50">
            <v>13955.718425949646</v>
          </cell>
        </row>
        <row r="51">
          <cell r="B51">
            <v>30719.100466030319</v>
          </cell>
          <cell r="C51">
            <v>35849.48214747187</v>
          </cell>
          <cell r="D51">
            <v>40110.479053336938</v>
          </cell>
          <cell r="E51">
            <v>43685.682849801524</v>
          </cell>
          <cell r="F51">
            <v>44072.156178680074</v>
          </cell>
          <cell r="G51">
            <v>43052.741125733693</v>
          </cell>
          <cell r="H51">
            <v>43083.459905400305</v>
          </cell>
        </row>
        <row r="52">
          <cell r="B52">
            <v>8841.8700083837102</v>
          </cell>
          <cell r="C52">
            <v>9797.448905756557</v>
          </cell>
          <cell r="D52">
            <v>10634.258544901997</v>
          </cell>
          <cell r="E52">
            <v>10911.632018666973</v>
          </cell>
          <cell r="F52">
            <v>10958.925894637325</v>
          </cell>
          <cell r="G52">
            <v>10864.978521362662</v>
          </cell>
          <cell r="H52">
            <v>10716.986514146503</v>
          </cell>
        </row>
        <row r="53">
          <cell r="B53">
            <v>7160.9000201979416</v>
          </cell>
          <cell r="C53">
            <v>8561.1719782820874</v>
          </cell>
          <cell r="D53">
            <v>9946.2623535657385</v>
          </cell>
          <cell r="E53">
            <v>10956.841983756542</v>
          </cell>
          <cell r="F53">
            <v>11653.997919047815</v>
          </cell>
          <cell r="G53">
            <v>11940.503680534097</v>
          </cell>
          <cell r="H53">
            <v>12267.17200349176</v>
          </cell>
        </row>
        <row r="54">
          <cell r="B54">
            <v>12172.382721382288</v>
          </cell>
          <cell r="C54">
            <v>13390.107088143615</v>
          </cell>
          <cell r="D54">
            <v>14047.658217785562</v>
          </cell>
          <cell r="E54">
            <v>14016.281084917342</v>
          </cell>
          <cell r="F54">
            <v>13488.129618292447</v>
          </cell>
          <cell r="G54">
            <v>12749.390903522148</v>
          </cell>
          <cell r="H54">
            <v>12197.081704325754</v>
          </cell>
        </row>
        <row r="55">
          <cell r="B55">
            <v>6475.5852701138065</v>
          </cell>
          <cell r="C55">
            <v>7780.1424754462578</v>
          </cell>
          <cell r="D55">
            <v>8771.8906780586403</v>
          </cell>
          <cell r="E55">
            <v>9555.6732808226843</v>
          </cell>
          <cell r="F55">
            <v>10046.593216999736</v>
          </cell>
          <cell r="G55">
            <v>10294.942988548539</v>
          </cell>
          <cell r="H55">
            <v>10475.549648476455</v>
          </cell>
        </row>
        <row r="56">
          <cell r="B56">
            <v>6220.2318376363382</v>
          </cell>
          <cell r="C56">
            <v>7339.7884328124501</v>
          </cell>
          <cell r="D56">
            <v>8060.8421643889806</v>
          </cell>
          <cell r="E56">
            <v>8544.8292220324747</v>
          </cell>
          <cell r="F56">
            <v>8585.118317643306</v>
          </cell>
          <cell r="G56">
            <v>8509.7588364884014</v>
          </cell>
          <cell r="H56">
            <v>8467.6327794669614</v>
          </cell>
        </row>
        <row r="57">
          <cell r="B57">
            <v>9626.4310750451768</v>
          </cell>
          <cell r="C57">
            <v>11170.787508461657</v>
          </cell>
          <cell r="D57">
            <v>12566.605438083901</v>
          </cell>
          <cell r="E57">
            <v>13796.531481885955</v>
          </cell>
          <cell r="F57">
            <v>14622.862898679134</v>
          </cell>
          <cell r="G57">
            <v>15228.468429168141</v>
          </cell>
          <cell r="H57">
            <v>15715.004924686025</v>
          </cell>
        </row>
        <row r="58">
          <cell r="B58">
            <v>13647.135618947919</v>
          </cell>
          <cell r="C58">
            <v>15188.916941896634</v>
          </cell>
          <cell r="D58">
            <v>16240.508412341351</v>
          </cell>
          <cell r="E58">
            <v>16535.245281169424</v>
          </cell>
          <cell r="F58">
            <v>16278.532183164683</v>
          </cell>
          <cell r="G58">
            <v>15864.245511630452</v>
          </cell>
          <cell r="H58">
            <v>15310.265038473161</v>
          </cell>
        </row>
        <row r="59">
          <cell r="B59">
            <v>8269.943919628131</v>
          </cell>
          <cell r="C59">
            <v>9630.645206743231</v>
          </cell>
          <cell r="D59">
            <v>11363.195057817276</v>
          </cell>
          <cell r="E59">
            <v>12620.930155843414</v>
          </cell>
          <cell r="F59">
            <v>13366.512056896092</v>
          </cell>
          <cell r="G59">
            <v>13951.922213637232</v>
          </cell>
          <cell r="H59">
            <v>14687.515824021793</v>
          </cell>
        </row>
        <row r="60">
          <cell r="B60">
            <v>351408.08866926492</v>
          </cell>
          <cell r="C60">
            <v>409719.62578179111</v>
          </cell>
          <cell r="D60">
            <v>458278.24955872202</v>
          </cell>
          <cell r="E60">
            <v>492681.57473609276</v>
          </cell>
          <cell r="F60">
            <v>507821.21437507658</v>
          </cell>
          <cell r="G60">
            <v>515275.36368997017</v>
          </cell>
          <cell r="H60">
            <v>530793.39621939929</v>
          </cell>
        </row>
      </sheetData>
      <sheetData sheetId="2">
        <row r="5">
          <cell r="B5">
            <v>2739</v>
          </cell>
          <cell r="C5">
            <v>3160</v>
          </cell>
          <cell r="D5">
            <v>3549</v>
          </cell>
          <cell r="E5">
            <v>3976</v>
          </cell>
          <cell r="F5">
            <v>4361</v>
          </cell>
          <cell r="G5">
            <v>4724</v>
          </cell>
          <cell r="H5">
            <v>5087</v>
          </cell>
        </row>
        <row r="6">
          <cell r="B6">
            <v>3095</v>
          </cell>
          <cell r="C6">
            <v>3295</v>
          </cell>
          <cell r="D6">
            <v>3475</v>
          </cell>
          <cell r="E6">
            <v>3677</v>
          </cell>
          <cell r="F6">
            <v>3855</v>
          </cell>
          <cell r="G6">
            <v>4020</v>
          </cell>
          <cell r="H6">
            <v>4185</v>
          </cell>
        </row>
        <row r="7">
          <cell r="B7">
            <v>320</v>
          </cell>
          <cell r="C7">
            <v>326</v>
          </cell>
          <cell r="D7">
            <v>332</v>
          </cell>
          <cell r="E7">
            <v>339</v>
          </cell>
          <cell r="F7">
            <v>345</v>
          </cell>
          <cell r="G7">
            <v>352</v>
          </cell>
          <cell r="H7">
            <v>358</v>
          </cell>
        </row>
        <row r="8">
          <cell r="B8">
            <v>29452</v>
          </cell>
          <cell r="C8">
            <v>30928</v>
          </cell>
          <cell r="D8">
            <v>32195</v>
          </cell>
          <cell r="E8">
            <v>33814</v>
          </cell>
          <cell r="F8">
            <v>35031</v>
          </cell>
          <cell r="G8">
            <v>36047</v>
          </cell>
          <cell r="H8">
            <v>37064</v>
          </cell>
        </row>
        <row r="9">
          <cell r="B9">
            <v>470</v>
          </cell>
          <cell r="C9">
            <v>468</v>
          </cell>
          <cell r="D9">
            <v>465</v>
          </cell>
          <cell r="E9">
            <v>463</v>
          </cell>
          <cell r="F9">
            <v>459</v>
          </cell>
          <cell r="G9">
            <v>455</v>
          </cell>
          <cell r="H9">
            <v>451</v>
          </cell>
        </row>
        <row r="10">
          <cell r="B10">
            <v>3768</v>
          </cell>
          <cell r="C10">
            <v>3855</v>
          </cell>
          <cell r="D10">
            <v>3926</v>
          </cell>
          <cell r="E10">
            <v>4026</v>
          </cell>
          <cell r="F10">
            <v>4093</v>
          </cell>
          <cell r="G10">
            <v>4143</v>
          </cell>
          <cell r="H10">
            <v>4193</v>
          </cell>
        </row>
        <row r="11">
          <cell r="B11">
            <v>4027</v>
          </cell>
          <cell r="C11">
            <v>4307</v>
          </cell>
          <cell r="D11">
            <v>4528</v>
          </cell>
          <cell r="E11">
            <v>4895</v>
          </cell>
          <cell r="F11">
            <v>5095</v>
          </cell>
          <cell r="G11">
            <v>5212</v>
          </cell>
          <cell r="H11">
            <v>5329</v>
          </cell>
        </row>
        <row r="12">
          <cell r="B12">
            <v>490</v>
          </cell>
          <cell r="C12">
            <v>489</v>
          </cell>
          <cell r="D12">
            <v>493</v>
          </cell>
          <cell r="E12">
            <v>496</v>
          </cell>
          <cell r="F12">
            <v>500</v>
          </cell>
          <cell r="G12">
            <v>503</v>
          </cell>
          <cell r="H12">
            <v>505</v>
          </cell>
        </row>
        <row r="13">
          <cell r="B13">
            <v>5229</v>
          </cell>
          <cell r="C13">
            <v>5547</v>
          </cell>
          <cell r="D13">
            <v>5827</v>
          </cell>
          <cell r="E13">
            <v>6135</v>
          </cell>
          <cell r="F13">
            <v>6411</v>
          </cell>
          <cell r="G13">
            <v>6671</v>
          </cell>
          <cell r="H13">
            <v>6931</v>
          </cell>
        </row>
        <row r="14">
          <cell r="B14">
            <v>5667</v>
          </cell>
          <cell r="C14">
            <v>5663</v>
          </cell>
          <cell r="D14">
            <v>5650</v>
          </cell>
          <cell r="E14">
            <v>5658</v>
          </cell>
          <cell r="F14">
            <v>5641</v>
          </cell>
          <cell r="G14">
            <v>5613</v>
          </cell>
          <cell r="H14">
            <v>5585</v>
          </cell>
        </row>
        <row r="15">
          <cell r="B15">
            <v>275</v>
          </cell>
          <cell r="C15">
            <v>286</v>
          </cell>
          <cell r="D15">
            <v>296</v>
          </cell>
          <cell r="E15">
            <v>309</v>
          </cell>
          <cell r="F15">
            <v>319</v>
          </cell>
          <cell r="G15">
            <v>326</v>
          </cell>
          <cell r="H15">
            <v>333</v>
          </cell>
        </row>
        <row r="16">
          <cell r="B16">
            <v>338</v>
          </cell>
          <cell r="C16">
            <v>352</v>
          </cell>
          <cell r="D16">
            <v>358</v>
          </cell>
          <cell r="E16">
            <v>365</v>
          </cell>
          <cell r="F16">
            <v>370</v>
          </cell>
          <cell r="G16">
            <v>374</v>
          </cell>
          <cell r="H16">
            <v>378</v>
          </cell>
        </row>
        <row r="17">
          <cell r="B17">
            <v>4631</v>
          </cell>
          <cell r="C17">
            <v>4932</v>
          </cell>
          <cell r="D17">
            <v>5212</v>
          </cell>
          <cell r="E17">
            <v>5515</v>
          </cell>
          <cell r="F17">
            <v>5791</v>
          </cell>
          <cell r="G17">
            <v>6055</v>
          </cell>
          <cell r="H17">
            <v>6318</v>
          </cell>
        </row>
        <row r="18">
          <cell r="B18">
            <v>5866</v>
          </cell>
          <cell r="C18">
            <v>5828</v>
          </cell>
          <cell r="D18">
            <v>5799</v>
          </cell>
          <cell r="E18">
            <v>5774</v>
          </cell>
          <cell r="F18">
            <v>5743</v>
          </cell>
          <cell r="G18">
            <v>5710</v>
          </cell>
          <cell r="H18">
            <v>5677</v>
          </cell>
        </row>
        <row r="19">
          <cell r="B19">
            <v>3536</v>
          </cell>
          <cell r="C19">
            <v>3740</v>
          </cell>
          <cell r="D19">
            <v>4083</v>
          </cell>
          <cell r="E19">
            <v>4445</v>
          </cell>
          <cell r="F19">
            <v>4786</v>
          </cell>
          <cell r="G19">
            <v>5116</v>
          </cell>
          <cell r="H19">
            <v>5446</v>
          </cell>
        </row>
        <row r="20">
          <cell r="B20">
            <v>69903</v>
          </cell>
          <cell r="C20">
            <v>73176</v>
          </cell>
          <cell r="D20">
            <v>76188</v>
          </cell>
          <cell r="E20">
            <v>79887</v>
          </cell>
          <cell r="F20">
            <v>82800</v>
          </cell>
          <cell r="G20">
            <v>85321</v>
          </cell>
          <cell r="H20">
            <v>87840</v>
          </cell>
        </row>
        <row r="25">
          <cell r="B25">
            <v>211317.00000000003</v>
          </cell>
          <cell r="C25">
            <v>243759.00000000003</v>
          </cell>
          <cell r="D25">
            <v>273829</v>
          </cell>
          <cell r="E25">
            <v>306777.99999999994</v>
          </cell>
          <cell r="F25">
            <v>336449.99999999988</v>
          </cell>
          <cell r="G25">
            <v>364470</v>
          </cell>
          <cell r="H25">
            <v>392486.00000000017</v>
          </cell>
        </row>
        <row r="26">
          <cell r="B26">
            <v>155787</v>
          </cell>
          <cell r="C26">
            <v>165824.00000000003</v>
          </cell>
          <cell r="D26">
            <v>174891.99999999994</v>
          </cell>
          <cell r="E26">
            <v>185064</v>
          </cell>
          <cell r="F26">
            <v>194007</v>
          </cell>
          <cell r="G26">
            <v>202333</v>
          </cell>
          <cell r="H26">
            <v>210652.99999999994</v>
          </cell>
        </row>
        <row r="27">
          <cell r="B27">
            <v>28616.999999999996</v>
          </cell>
          <cell r="C27">
            <v>29063.000000000004</v>
          </cell>
          <cell r="D27">
            <v>29631.000000000004</v>
          </cell>
          <cell r="E27">
            <v>30244.000000000007</v>
          </cell>
          <cell r="F27">
            <v>30827</v>
          </cell>
          <cell r="G27">
            <v>31396.999999999996</v>
          </cell>
          <cell r="H27">
            <v>31968.000000000011</v>
          </cell>
        </row>
        <row r="28">
          <cell r="B28">
            <v>1294211</v>
          </cell>
          <cell r="C28">
            <v>1359097.9999999998</v>
          </cell>
          <cell r="D28">
            <v>1414771.0000000005</v>
          </cell>
          <cell r="E28">
            <v>1485774.9999999995</v>
          </cell>
          <cell r="F28">
            <v>1539205</v>
          </cell>
          <cell r="G28">
            <v>1583745</v>
          </cell>
          <cell r="H28">
            <v>1628365.9999999998</v>
          </cell>
        </row>
        <row r="29">
          <cell r="B29">
            <v>27573.000000000004</v>
          </cell>
          <cell r="C29">
            <v>27475.000000000011</v>
          </cell>
          <cell r="D29">
            <v>27266</v>
          </cell>
          <cell r="E29">
            <v>27131</v>
          </cell>
          <cell r="F29">
            <v>26933.000000000004</v>
          </cell>
          <cell r="G29">
            <v>26700.999999999996</v>
          </cell>
          <cell r="H29">
            <v>26471.999999999993</v>
          </cell>
        </row>
        <row r="30">
          <cell r="B30">
            <v>59015.000000000007</v>
          </cell>
          <cell r="C30">
            <v>60429.000000000015</v>
          </cell>
          <cell r="D30">
            <v>61576.999999999985</v>
          </cell>
          <cell r="E30">
            <v>63174</v>
          </cell>
          <cell r="F30">
            <v>64214.000000000015</v>
          </cell>
          <cell r="G30">
            <v>64977.000000000029</v>
          </cell>
          <cell r="H30">
            <v>65744</v>
          </cell>
        </row>
        <row r="31">
          <cell r="B31">
            <v>174466.00000000003</v>
          </cell>
          <cell r="C31">
            <v>186595</v>
          </cell>
          <cell r="D31">
            <v>196178.99999999994</v>
          </cell>
          <cell r="E31">
            <v>212063.00000000006</v>
          </cell>
          <cell r="F31">
            <v>220725</v>
          </cell>
          <cell r="G31">
            <v>225763.99999999997</v>
          </cell>
          <cell r="H31">
            <v>230811.99999999994</v>
          </cell>
        </row>
        <row r="32">
          <cell r="B32">
            <v>45646.000000000007</v>
          </cell>
          <cell r="C32">
            <v>45560.999999999993</v>
          </cell>
          <cell r="D32">
            <v>45846</v>
          </cell>
          <cell r="E32">
            <v>46191.999999999993</v>
          </cell>
          <cell r="F32">
            <v>46484.000000000007</v>
          </cell>
          <cell r="G32">
            <v>46762.000000000015</v>
          </cell>
          <cell r="H32">
            <v>47042.000000000007</v>
          </cell>
        </row>
        <row r="33">
          <cell r="B33">
            <v>38613.000000000015</v>
          </cell>
          <cell r="C33">
            <v>41016.999999999985</v>
          </cell>
          <cell r="D33">
            <v>43151.000000000007</v>
          </cell>
          <cell r="E33">
            <v>45460.999999999993</v>
          </cell>
          <cell r="F33">
            <v>47479.999999999985</v>
          </cell>
          <cell r="G33">
            <v>49379.000000000007</v>
          </cell>
          <cell r="H33">
            <v>51290</v>
          </cell>
        </row>
        <row r="34">
          <cell r="B34">
            <v>59737.000000000015</v>
          </cell>
          <cell r="C34">
            <v>59778.999999999993</v>
          </cell>
          <cell r="D34">
            <v>59667.999999999985</v>
          </cell>
          <cell r="E34">
            <v>59685.999999999978</v>
          </cell>
          <cell r="F34">
            <v>59449.000000000007</v>
          </cell>
          <cell r="G34">
            <v>59128</v>
          </cell>
          <cell r="H34">
            <v>58832.000000000015</v>
          </cell>
        </row>
        <row r="35">
          <cell r="B35">
            <v>34666.999999999993</v>
          </cell>
          <cell r="C35">
            <v>36106</v>
          </cell>
          <cell r="D35">
            <v>37320.000000000007</v>
          </cell>
          <cell r="E35">
            <v>38968.999999999993</v>
          </cell>
          <cell r="F35">
            <v>40134.000000000007</v>
          </cell>
          <cell r="G35">
            <v>41059.999999999993</v>
          </cell>
          <cell r="H35">
            <v>41984.999999999993</v>
          </cell>
        </row>
        <row r="36">
          <cell r="B36">
            <v>35061</v>
          </cell>
          <cell r="C36">
            <v>36475.999999999993</v>
          </cell>
          <cell r="D36">
            <v>37008.999999999993</v>
          </cell>
          <cell r="E36">
            <v>37707.999999999985</v>
          </cell>
          <cell r="F36">
            <v>38234.999999999985</v>
          </cell>
          <cell r="G36">
            <v>38673.999999999993</v>
          </cell>
          <cell r="H36">
            <v>39114.000000000007</v>
          </cell>
        </row>
        <row r="37">
          <cell r="B37">
            <v>53911.999999999985</v>
          </cell>
          <cell r="C37">
            <v>57442.999999999993</v>
          </cell>
          <cell r="D37">
            <v>60718.000000000007</v>
          </cell>
          <cell r="E37">
            <v>64246.000000000015</v>
          </cell>
          <cell r="F37">
            <v>67443</v>
          </cell>
          <cell r="G37">
            <v>70505</v>
          </cell>
          <cell r="H37">
            <v>73568</v>
          </cell>
        </row>
        <row r="38">
          <cell r="B38">
            <v>71260</v>
          </cell>
          <cell r="C38">
            <v>70886</v>
          </cell>
          <cell r="D38">
            <v>70572.999999999985</v>
          </cell>
          <cell r="E38">
            <v>70281.999999999971</v>
          </cell>
          <cell r="F38">
            <v>69874.000000000029</v>
          </cell>
          <cell r="G38">
            <v>69455</v>
          </cell>
          <cell r="H38">
            <v>69033</v>
          </cell>
        </row>
        <row r="39">
          <cell r="B39">
            <v>59177</v>
          </cell>
          <cell r="C39">
            <v>62642</v>
          </cell>
          <cell r="D39">
            <v>68465</v>
          </cell>
          <cell r="E39">
            <v>74577.999999999956</v>
          </cell>
          <cell r="F39">
            <v>80292.999999999971</v>
          </cell>
          <cell r="G39">
            <v>85777.000000000015</v>
          </cell>
          <cell r="H39">
            <v>91259.999999999956</v>
          </cell>
        </row>
        <row r="40">
          <cell r="B40">
            <v>2349059</v>
          </cell>
          <cell r="C40">
            <v>2482152.9999999995</v>
          </cell>
          <cell r="D40">
            <v>2600895.0000000005</v>
          </cell>
          <cell r="E40">
            <v>2747350.9999999995</v>
          </cell>
          <cell r="F40">
            <v>2861753</v>
          </cell>
          <cell r="G40">
            <v>2960127</v>
          </cell>
          <cell r="H40">
            <v>3058625</v>
          </cell>
        </row>
      </sheetData>
      <sheetData sheetId="3">
        <row r="5">
          <cell r="B5">
            <v>53459.583726832556</v>
          </cell>
          <cell r="C5">
            <v>57802.211467654452</v>
          </cell>
          <cell r="D5">
            <v>62488.39684578064</v>
          </cell>
          <cell r="E5">
            <v>68429.155709672006</v>
          </cell>
          <cell r="F5">
            <v>74584.973531533033</v>
          </cell>
          <cell r="G5">
            <v>80292.681834548057</v>
          </cell>
          <cell r="H5">
            <v>85615.512780252422</v>
          </cell>
        </row>
        <row r="6">
          <cell r="B6">
            <v>37338.736271349422</v>
          </cell>
          <cell r="C6">
            <v>39868.978376774852</v>
          </cell>
          <cell r="D6">
            <v>42433.10632611662</v>
          </cell>
          <cell r="E6">
            <v>45292.283996553808</v>
          </cell>
          <cell r="F6">
            <v>47626.957096687824</v>
          </cell>
          <cell r="G6">
            <v>49682.842434346465</v>
          </cell>
          <cell r="H6">
            <v>51679.732864178513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309386.5209525972</v>
          </cell>
          <cell r="C8">
            <v>324447.43943582271</v>
          </cell>
          <cell r="D8">
            <v>335630.41319176171</v>
          </cell>
          <cell r="E8">
            <v>347855.69854237244</v>
          </cell>
          <cell r="F8">
            <v>359171.99877919804</v>
          </cell>
          <cell r="G8">
            <v>366068.57285475254</v>
          </cell>
          <cell r="H8">
            <v>375105.21344734944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14854.415922900182</v>
          </cell>
          <cell r="C10">
            <v>15203.266136525253</v>
          </cell>
          <cell r="D10">
            <v>15471.644154498597</v>
          </cell>
          <cell r="E10">
            <v>16053.808243659973</v>
          </cell>
          <cell r="F10">
            <v>16481.424573853037</v>
          </cell>
          <cell r="G10">
            <v>16768.684097150177</v>
          </cell>
          <cell r="H10">
            <v>17042.832716342447</v>
          </cell>
        </row>
        <row r="11">
          <cell r="B11">
            <v>41091.689665076068</v>
          </cell>
          <cell r="C11">
            <v>43785.054880020369</v>
          </cell>
          <cell r="D11">
            <v>45856.897357579212</v>
          </cell>
          <cell r="E11">
            <v>49464.022784910907</v>
          </cell>
          <cell r="F11">
            <v>51476.736870259097</v>
          </cell>
          <cell r="G11">
            <v>52202.186408954476</v>
          </cell>
          <cell r="H11">
            <v>52930.902274758904</v>
          </cell>
        </row>
        <row r="12">
          <cell r="B12">
            <v>10295.89182630824</v>
          </cell>
          <cell r="C12">
            <v>10076.05936041166</v>
          </cell>
          <cell r="D12">
            <v>9945.7209696540285</v>
          </cell>
          <cell r="E12">
            <v>9964.2687036293737</v>
          </cell>
          <cell r="F12">
            <v>9955.3452563031678</v>
          </cell>
          <cell r="G12">
            <v>9877.5064022475126</v>
          </cell>
          <cell r="H12">
            <v>9771.3658346794327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13725.130256413764</v>
          </cell>
          <cell r="C14">
            <v>13735.254207080172</v>
          </cell>
          <cell r="D14">
            <v>13585.834774321616</v>
          </cell>
          <cell r="E14">
            <v>13125.756824930993</v>
          </cell>
          <cell r="F14">
            <v>12804.025240378467</v>
          </cell>
          <cell r="G14">
            <v>12909.087630134394</v>
          </cell>
          <cell r="H14">
            <v>13136.203078176775</v>
          </cell>
        </row>
        <row r="15">
          <cell r="B15">
            <v>7661.3220727341277</v>
          </cell>
          <cell r="C15">
            <v>7440.8843591855903</v>
          </cell>
          <cell r="D15">
            <v>7506.5004466347245</v>
          </cell>
          <cell r="E15">
            <v>7842.7035497815959</v>
          </cell>
          <cell r="F15">
            <v>7988.7423945505861</v>
          </cell>
          <cell r="G15">
            <v>8008.728679254441</v>
          </cell>
          <cell r="H15">
            <v>7949.6397024779972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12285.485191957145</v>
          </cell>
          <cell r="C17">
            <v>12592.193021688647</v>
          </cell>
          <cell r="D17">
            <v>12939.834562919956</v>
          </cell>
          <cell r="E17">
            <v>13361.403106266223</v>
          </cell>
          <cell r="F17">
            <v>13680.212626463008</v>
          </cell>
          <cell r="G17">
            <v>14264.295430841039</v>
          </cell>
          <cell r="H17">
            <v>14942.179947283839</v>
          </cell>
        </row>
        <row r="18">
          <cell r="B18">
            <v>15982.42728784206</v>
          </cell>
          <cell r="C18">
            <v>15600.694818639011</v>
          </cell>
          <cell r="D18">
            <v>15156.855419692933</v>
          </cell>
          <cell r="E18">
            <v>14958.689243558001</v>
          </cell>
          <cell r="F18">
            <v>14620.23015868631</v>
          </cell>
          <cell r="G18">
            <v>14644.736102732644</v>
          </cell>
          <cell r="H18">
            <v>14716.499000366382</v>
          </cell>
        </row>
        <row r="19">
          <cell r="B19">
            <v>15030.25030115564</v>
          </cell>
          <cell r="C19">
            <v>16039.347970209572</v>
          </cell>
          <cell r="D19">
            <v>17946.235207177706</v>
          </cell>
          <cell r="E19">
            <v>19936.599887105269</v>
          </cell>
          <cell r="F19">
            <v>21575.900115514207</v>
          </cell>
          <cell r="G19">
            <v>22584.108671687452</v>
          </cell>
          <cell r="H19">
            <v>23471.020220866241</v>
          </cell>
        </row>
        <row r="25">
          <cell r="B25">
            <v>126668.52601590233</v>
          </cell>
          <cell r="C25">
            <v>145319.24423133634</v>
          </cell>
          <cell r="D25">
            <v>160653.84384566068</v>
          </cell>
          <cell r="E25">
            <v>177640.12319771305</v>
          </cell>
          <cell r="F25">
            <v>192780.78183376222</v>
          </cell>
          <cell r="G25">
            <v>208387.53274779941</v>
          </cell>
          <cell r="H25">
            <v>224128.50231069018</v>
          </cell>
        </row>
        <row r="26">
          <cell r="B26">
            <v>93009.150585371244</v>
          </cell>
          <cell r="C26">
            <v>97008.335500189089</v>
          </cell>
          <cell r="D26">
            <v>100239.14077227309</v>
          </cell>
          <cell r="E26">
            <v>105773.37830183574</v>
          </cell>
          <cell r="F26">
            <v>111882.18698681684</v>
          </cell>
          <cell r="G26">
            <v>118235.30629321747</v>
          </cell>
          <cell r="H26">
            <v>124206.67234646523</v>
          </cell>
        </row>
        <row r="27">
          <cell r="B27">
            <v>14679.627677665423</v>
          </cell>
          <cell r="C27">
            <v>14695.060927796196</v>
          </cell>
          <cell r="D27">
            <v>14967.915069246417</v>
          </cell>
          <cell r="E27">
            <v>15299.343119206827</v>
          </cell>
          <cell r="F27">
            <v>15600.57881490306</v>
          </cell>
          <cell r="G27">
            <v>15984.655285276149</v>
          </cell>
          <cell r="H27">
            <v>16395.186875287673</v>
          </cell>
        </row>
        <row r="28">
          <cell r="B28">
            <v>843951.02510575601</v>
          </cell>
          <cell r="C28">
            <v>868734.09728373564</v>
          </cell>
          <cell r="D28">
            <v>894781.84436772089</v>
          </cell>
          <cell r="E28">
            <v>942968.28458394075</v>
          </cell>
          <cell r="F28">
            <v>982849.43629214843</v>
          </cell>
          <cell r="G28">
            <v>1019973.1046496063</v>
          </cell>
          <cell r="H28">
            <v>1048743.24498198</v>
          </cell>
        </row>
        <row r="29">
          <cell r="B29">
            <v>14145.806948650843</v>
          </cell>
          <cell r="C29">
            <v>13599.747643817633</v>
          </cell>
          <cell r="D29">
            <v>12986.346796202131</v>
          </cell>
          <cell r="E29">
            <v>12769.05592717024</v>
          </cell>
          <cell r="F29">
            <v>12631.527801949182</v>
          </cell>
          <cell r="G29">
            <v>12670.691804210957</v>
          </cell>
          <cell r="H29">
            <v>12736.209855250527</v>
          </cell>
        </row>
        <row r="30">
          <cell r="B30">
            <v>33642.314336779753</v>
          </cell>
          <cell r="C30">
            <v>33084.544455171825</v>
          </cell>
          <cell r="D30">
            <v>32947.024123720752</v>
          </cell>
          <cell r="E30">
            <v>33588.691467978351</v>
          </cell>
          <cell r="F30">
            <v>34494.498938120814</v>
          </cell>
          <cell r="G30">
            <v>35497.843992272275</v>
          </cell>
          <cell r="H30">
            <v>36398.448857707903</v>
          </cell>
        </row>
        <row r="31">
          <cell r="B31">
            <v>104397.20986889364</v>
          </cell>
          <cell r="C31">
            <v>108968.46297250778</v>
          </cell>
          <cell r="D31">
            <v>112430.62358908379</v>
          </cell>
          <cell r="E31">
            <v>121499.2943652876</v>
          </cell>
          <cell r="F31">
            <v>127971.10695106082</v>
          </cell>
          <cell r="G31">
            <v>133449.07246531182</v>
          </cell>
          <cell r="H31">
            <v>137874.63781984075</v>
          </cell>
        </row>
        <row r="32">
          <cell r="B32">
            <v>24644.238165308059</v>
          </cell>
          <cell r="C32">
            <v>23854.491733831775</v>
          </cell>
          <cell r="D32">
            <v>23461.020485443973</v>
          </cell>
          <cell r="E32">
            <v>23521.099277703652</v>
          </cell>
          <cell r="F32">
            <v>23777.728849059517</v>
          </cell>
          <cell r="G32">
            <v>24226.515076389842</v>
          </cell>
          <cell r="H32">
            <v>24757.647651174069</v>
          </cell>
        </row>
        <row r="33">
          <cell r="B33">
            <v>25500.531208140688</v>
          </cell>
          <cell r="C33">
            <v>26622.860440931669</v>
          </cell>
          <cell r="D33">
            <v>27479.178997949472</v>
          </cell>
          <cell r="E33">
            <v>28752.469004496848</v>
          </cell>
          <cell r="F33">
            <v>30257.324877176972</v>
          </cell>
          <cell r="G33">
            <v>31774.778106326507</v>
          </cell>
          <cell r="H33">
            <v>33212.833600953512</v>
          </cell>
        </row>
        <row r="34">
          <cell r="B34">
            <v>37112.487022203961</v>
          </cell>
          <cell r="C34">
            <v>35839.638704776204</v>
          </cell>
          <cell r="D34">
            <v>35177.507007892811</v>
          </cell>
          <cell r="E34">
            <v>35756.962090151646</v>
          </cell>
          <cell r="F34">
            <v>36420.84514132909</v>
          </cell>
          <cell r="G34">
            <v>36727.52146634346</v>
          </cell>
          <cell r="H34">
            <v>36724.715217497484</v>
          </cell>
        </row>
        <row r="35">
          <cell r="B35">
            <v>18507.092657152058</v>
          </cell>
          <cell r="C35">
            <v>18897.973165368152</v>
          </cell>
          <cell r="D35">
            <v>19081.608875306643</v>
          </cell>
          <cell r="E35">
            <v>19633.623169395712</v>
          </cell>
          <cell r="F35">
            <v>20177.664388449684</v>
          </cell>
          <cell r="G35">
            <v>20844.328332197012</v>
          </cell>
          <cell r="H35">
            <v>21657.810649045547</v>
          </cell>
        </row>
        <row r="36">
          <cell r="B36">
            <v>18796.122251132932</v>
          </cell>
          <cell r="C36">
            <v>18876.442319527931</v>
          </cell>
          <cell r="D36">
            <v>18704.19249324215</v>
          </cell>
          <cell r="E36">
            <v>18867.553537854961</v>
          </cell>
          <cell r="F36">
            <v>19252.468218630245</v>
          </cell>
          <cell r="G36">
            <v>19693.724903156111</v>
          </cell>
          <cell r="H36">
            <v>20069.935994145213</v>
          </cell>
        </row>
        <row r="37">
          <cell r="B37">
            <v>34127.083732997664</v>
          </cell>
          <cell r="C37">
            <v>36087.019469849693</v>
          </cell>
          <cell r="D37">
            <v>37873.559998996156</v>
          </cell>
          <cell r="E37">
            <v>40041.065411847834</v>
          </cell>
          <cell r="F37">
            <v>42386.924474857857</v>
          </cell>
          <cell r="G37">
            <v>44520.236139990819</v>
          </cell>
          <cell r="H37">
            <v>46676.815128030124</v>
          </cell>
        </row>
        <row r="38">
          <cell r="B38">
            <v>45085.437093210021</v>
          </cell>
          <cell r="C38">
            <v>43424.388239464359</v>
          </cell>
          <cell r="D38">
            <v>42432.636167965698</v>
          </cell>
          <cell r="E38">
            <v>42009.065475272546</v>
          </cell>
          <cell r="F38">
            <v>42208.237658149024</v>
          </cell>
          <cell r="G38">
            <v>42159.018385636904</v>
          </cell>
          <cell r="H38">
            <v>42203.235961160455</v>
          </cell>
        </row>
        <row r="39">
          <cell r="B39">
            <v>37138.805779216229</v>
          </cell>
          <cell r="C39">
            <v>38390.006823047195</v>
          </cell>
          <cell r="D39">
            <v>40842.569735005018</v>
          </cell>
          <cell r="E39">
            <v>44016.469957051275</v>
          </cell>
          <cell r="F39">
            <v>47677.587827589668</v>
          </cell>
          <cell r="G39">
            <v>51941.969114675332</v>
          </cell>
          <cell r="H39">
            <v>56178.463955111933</v>
          </cell>
        </row>
        <row r="45">
          <cell r="B45">
            <v>31188.890257265142</v>
          </cell>
          <cell r="C45">
            <v>41073.544301009242</v>
          </cell>
          <cell r="D45">
            <v>51504.759308558663</v>
          </cell>
          <cell r="E45">
            <v>61937.721092614869</v>
          </cell>
          <cell r="F45">
            <v>70674.244634704635</v>
          </cell>
          <cell r="G45">
            <v>77730.785417652514</v>
          </cell>
          <cell r="H45">
            <v>85039.98490905753</v>
          </cell>
        </row>
        <row r="46">
          <cell r="B46">
            <v>25870.113143279337</v>
          </cell>
          <cell r="C46">
            <v>29597.686123036088</v>
          </cell>
          <cell r="D46">
            <v>33063.752901610227</v>
          </cell>
          <cell r="E46">
            <v>35035.337701610464</v>
          </cell>
          <cell r="F46">
            <v>35695.855916495333</v>
          </cell>
          <cell r="G46">
            <v>35758.85127243607</v>
          </cell>
          <cell r="H46">
            <v>36262.594789356197</v>
          </cell>
        </row>
        <row r="47">
          <cell r="B47">
            <v>5025.7534203436089</v>
          </cell>
          <cell r="C47">
            <v>5477.6053720202281</v>
          </cell>
          <cell r="D47">
            <v>5903.7671091791899</v>
          </cell>
          <cell r="E47">
            <v>6088.7867733094508</v>
          </cell>
          <cell r="F47">
            <v>6134.3258222378954</v>
          </cell>
          <cell r="G47">
            <v>6084.9989599343799</v>
          </cell>
          <cell r="H47">
            <v>6045.6847986912835</v>
          </cell>
        </row>
        <row r="48">
          <cell r="B48">
            <v>167453.45394164682</v>
          </cell>
          <cell r="C48">
            <v>193910.46328044147</v>
          </cell>
          <cell r="D48">
            <v>213628.74244051767</v>
          </cell>
          <cell r="E48">
            <v>225956.01687368637</v>
          </cell>
          <cell r="F48">
            <v>229450.56492865359</v>
          </cell>
          <cell r="G48">
            <v>231103.32249564119</v>
          </cell>
          <cell r="H48">
            <v>238966.5415706705</v>
          </cell>
        </row>
        <row r="49">
          <cell r="B49">
            <v>5268.0272290443136</v>
          </cell>
          <cell r="C49">
            <v>5840.6466119667039</v>
          </cell>
          <cell r="D49">
            <v>6275.1961567952985</v>
          </cell>
          <cell r="E49">
            <v>6432.5646476136571</v>
          </cell>
          <cell r="F49">
            <v>6409.3183009183094</v>
          </cell>
          <cell r="G49">
            <v>6215.9814231031341</v>
          </cell>
          <cell r="H49">
            <v>5977.2033831853487</v>
          </cell>
        </row>
        <row r="50">
          <cell r="B50">
            <v>11518.269740320073</v>
          </cell>
          <cell r="C50">
            <v>13161.189408302933</v>
          </cell>
          <cell r="D50">
            <v>14210.331721780642</v>
          </cell>
          <cell r="E50">
            <v>14657.500288361678</v>
          </cell>
          <cell r="F50">
            <v>14434.076488026163</v>
          </cell>
          <cell r="G50">
            <v>13974.471910577578</v>
          </cell>
          <cell r="H50">
            <v>13630.718425949646</v>
          </cell>
        </row>
        <row r="51">
          <cell r="B51">
            <v>30394.100466030319</v>
          </cell>
          <cell r="C51">
            <v>35524.48214747187</v>
          </cell>
          <cell r="D51">
            <v>39785.479053336938</v>
          </cell>
          <cell r="E51">
            <v>43360.682849801524</v>
          </cell>
          <cell r="F51">
            <v>43747.156178680074</v>
          </cell>
          <cell r="G51">
            <v>42727.741125733693</v>
          </cell>
          <cell r="H51">
            <v>42758.459905400305</v>
          </cell>
        </row>
        <row r="52">
          <cell r="B52">
            <v>8516.8700083837102</v>
          </cell>
          <cell r="C52">
            <v>9472.448905756557</v>
          </cell>
          <cell r="D52">
            <v>10309.258544901997</v>
          </cell>
          <cell r="E52">
            <v>10586.632018666973</v>
          </cell>
          <cell r="F52">
            <v>10633.925894637325</v>
          </cell>
          <cell r="G52">
            <v>10539.978521362662</v>
          </cell>
          <cell r="H52">
            <v>10391.986514146503</v>
          </cell>
        </row>
        <row r="53">
          <cell r="B53">
            <v>6835.9000201979416</v>
          </cell>
          <cell r="C53">
            <v>8236.1719782820874</v>
          </cell>
          <cell r="D53">
            <v>9621.2623535657385</v>
          </cell>
          <cell r="E53">
            <v>10631.841983756542</v>
          </cell>
          <cell r="F53">
            <v>11328.997919047815</v>
          </cell>
          <cell r="G53">
            <v>11615.503680534097</v>
          </cell>
          <cell r="H53">
            <v>11942.17200349176</v>
          </cell>
        </row>
        <row r="54">
          <cell r="B54">
            <v>11847.382721382288</v>
          </cell>
          <cell r="C54">
            <v>13065.107088143615</v>
          </cell>
          <cell r="D54">
            <v>13722.658217785562</v>
          </cell>
          <cell r="E54">
            <v>13691.281084917342</v>
          </cell>
          <cell r="F54">
            <v>13163.129618292447</v>
          </cell>
          <cell r="G54">
            <v>12424.390903522148</v>
          </cell>
          <cell r="H54">
            <v>11872.081704325754</v>
          </cell>
        </row>
        <row r="55">
          <cell r="B55">
            <v>6150.5852701138065</v>
          </cell>
          <cell r="C55">
            <v>7455.1424754462578</v>
          </cell>
          <cell r="D55">
            <v>8446.8906780586403</v>
          </cell>
          <cell r="E55">
            <v>9230.6732808226843</v>
          </cell>
          <cell r="F55">
            <v>9721.5932169997359</v>
          </cell>
          <cell r="G55">
            <v>9969.9429885485388</v>
          </cell>
          <cell r="H55">
            <v>10150.549648476455</v>
          </cell>
        </row>
        <row r="56">
          <cell r="B56">
            <v>5895.2318376363382</v>
          </cell>
          <cell r="C56">
            <v>7014.7884328124501</v>
          </cell>
          <cell r="D56">
            <v>7735.8421643889806</v>
          </cell>
          <cell r="E56">
            <v>8219.8292220324747</v>
          </cell>
          <cell r="F56">
            <v>8260.118317643306</v>
          </cell>
          <cell r="G56">
            <v>8184.7588364884014</v>
          </cell>
          <cell r="H56">
            <v>8142.6327794669614</v>
          </cell>
        </row>
        <row r="57">
          <cell r="B57">
            <v>9301.4310750451768</v>
          </cell>
          <cell r="C57">
            <v>10845.787508461657</v>
          </cell>
          <cell r="D57">
            <v>12241.605438083901</v>
          </cell>
          <cell r="E57">
            <v>13471.531481885955</v>
          </cell>
          <cell r="F57">
            <v>14297.862898679134</v>
          </cell>
          <cell r="G57">
            <v>14903.468429168141</v>
          </cell>
          <cell r="H57">
            <v>15390.004924686025</v>
          </cell>
        </row>
        <row r="58">
          <cell r="B58">
            <v>13322.135618947919</v>
          </cell>
          <cell r="C58">
            <v>14863.916941896634</v>
          </cell>
          <cell r="D58">
            <v>15915.508412341351</v>
          </cell>
          <cell r="E58">
            <v>16210.245281169424</v>
          </cell>
          <cell r="F58">
            <v>15953.532183164683</v>
          </cell>
          <cell r="G58">
            <v>15539.245511630452</v>
          </cell>
          <cell r="H58">
            <v>14985.265038473161</v>
          </cell>
        </row>
        <row r="59">
          <cell r="B59">
            <v>7944.943919628131</v>
          </cell>
          <cell r="C59">
            <v>9305.645206743231</v>
          </cell>
          <cell r="D59">
            <v>11038.195057817276</v>
          </cell>
          <cell r="E59">
            <v>12295.930155843414</v>
          </cell>
          <cell r="F59">
            <v>13041.512056896092</v>
          </cell>
          <cell r="G59">
            <v>13626.922213637232</v>
          </cell>
          <cell r="H59">
            <v>14362.515824021793</v>
          </cell>
        </row>
      </sheetData>
      <sheetData sheetId="4">
        <row r="5">
          <cell r="B5">
            <v>74761.619718309856</v>
          </cell>
          <cell r="C5">
            <v>85864.788732394372</v>
          </cell>
          <cell r="D5">
            <v>96455.985915492958</v>
          </cell>
          <cell r="E5">
            <v>108058.80281690141</v>
          </cell>
          <cell r="F5">
            <v>118505.63380281691</v>
          </cell>
          <cell r="G5">
            <v>128374.29577464789</v>
          </cell>
          <cell r="H5">
            <v>138242.95774647887</v>
          </cell>
        </row>
        <row r="6">
          <cell r="B6">
            <v>58306.716417910444</v>
          </cell>
          <cell r="C6">
            <v>61898.507462686561</v>
          </cell>
          <cell r="D6">
            <v>65288.805970149253</v>
          </cell>
          <cell r="E6">
            <v>69083.208955223876</v>
          </cell>
          <cell r="F6">
            <v>72415.298507462678</v>
          </cell>
          <cell r="G6">
            <v>75516.417910447752</v>
          </cell>
          <cell r="H6">
            <v>78617.537313432826</v>
          </cell>
        </row>
        <row r="7">
          <cell r="B7">
            <v>11875.103734439834</v>
          </cell>
          <cell r="C7">
            <v>12071.784232365144</v>
          </cell>
          <cell r="D7">
            <v>12314.937759336099</v>
          </cell>
          <cell r="E7">
            <v>12570.539419087136</v>
          </cell>
          <cell r="F7">
            <v>12811.203319502074</v>
          </cell>
          <cell r="G7">
            <v>13044.813278008298</v>
          </cell>
          <cell r="H7">
            <v>13278.838174273858</v>
          </cell>
        </row>
        <row r="8">
          <cell r="B8">
            <v>526244.30894308945</v>
          </cell>
          <cell r="C8">
            <v>552519.91869918699</v>
          </cell>
          <cell r="D8">
            <v>575160.56910569104</v>
          </cell>
          <cell r="E8">
            <v>604077.23577235779</v>
          </cell>
          <cell r="F8">
            <v>625821.13821138209</v>
          </cell>
          <cell r="G8">
            <v>643977.64227642282</v>
          </cell>
          <cell r="H8">
            <v>662134.14634146343</v>
          </cell>
        </row>
        <row r="9">
          <cell r="B9">
            <v>11422.821576763485</v>
          </cell>
          <cell r="C9">
            <v>11409.543568464729</v>
          </cell>
          <cell r="D9">
            <v>11326.556016597509</v>
          </cell>
          <cell r="E9">
            <v>11272.199170124481</v>
          </cell>
          <cell r="F9">
            <v>11190.456431535269</v>
          </cell>
          <cell r="G9">
            <v>11093.360995850622</v>
          </cell>
          <cell r="H9">
            <v>10996.68049792531</v>
          </cell>
        </row>
        <row r="10">
          <cell r="B10">
            <v>23411.507936507936</v>
          </cell>
          <cell r="C10">
            <v>23929.365079365078</v>
          </cell>
          <cell r="D10">
            <v>24370.238095238095</v>
          </cell>
          <cell r="E10">
            <v>24994.841269841269</v>
          </cell>
          <cell r="F10">
            <v>25409.523809523809</v>
          </cell>
          <cell r="G10">
            <v>25719.841269841269</v>
          </cell>
          <cell r="H10">
            <v>26030.555555555555</v>
          </cell>
        </row>
        <row r="11">
          <cell r="B11">
            <v>65659.022556390977</v>
          </cell>
          <cell r="C11">
            <v>70153.383458646611</v>
          </cell>
          <cell r="D11">
            <v>73752.631578947359</v>
          </cell>
          <cell r="E11">
            <v>79724.436090225558</v>
          </cell>
          <cell r="F11">
            <v>82984.210526315786</v>
          </cell>
          <cell r="G11">
            <v>84889.097744360901</v>
          </cell>
          <cell r="H11">
            <v>86794.360902255634</v>
          </cell>
        </row>
        <row r="12">
          <cell r="B12">
            <v>18910.788381742739</v>
          </cell>
          <cell r="C12">
            <v>18923.651452282156</v>
          </cell>
          <cell r="D12">
            <v>19051.452282157676</v>
          </cell>
          <cell r="E12">
            <v>19197.925311203318</v>
          </cell>
          <cell r="F12">
            <v>19318.672199170123</v>
          </cell>
          <cell r="G12">
            <v>19432.365145228214</v>
          </cell>
          <cell r="H12">
            <v>19546.058091286304</v>
          </cell>
        </row>
        <row r="13">
          <cell r="B13">
            <v>14843.846153846152</v>
          </cell>
          <cell r="C13">
            <v>15746.153846153846</v>
          </cell>
          <cell r="D13">
            <v>16540.76923076923</v>
          </cell>
          <cell r="E13">
            <v>17414.23076923077</v>
          </cell>
          <cell r="F13">
            <v>18198.076923076922</v>
          </cell>
          <cell r="G13">
            <v>18936.153846153844</v>
          </cell>
          <cell r="H13">
            <v>19674.23076923077</v>
          </cell>
        </row>
        <row r="14">
          <cell r="B14">
            <v>24667.768595041322</v>
          </cell>
          <cell r="C14">
            <v>24649.173553719011</v>
          </cell>
          <cell r="D14">
            <v>24590.909090909092</v>
          </cell>
          <cell r="E14">
            <v>24623.14049586777</v>
          </cell>
          <cell r="F14">
            <v>24552.892561983474</v>
          </cell>
          <cell r="G14">
            <v>24429.338842975209</v>
          </cell>
          <cell r="H14">
            <v>24305.785123966944</v>
          </cell>
        </row>
        <row r="15">
          <cell r="B15">
            <v>12992.134831460675</v>
          </cell>
          <cell r="C15">
            <v>13535.205992509364</v>
          </cell>
          <cell r="D15">
            <v>13996.254681647941</v>
          </cell>
          <cell r="E15">
            <v>14617.602996254682</v>
          </cell>
          <cell r="F15">
            <v>15056.1797752809</v>
          </cell>
          <cell r="G15">
            <v>15403.745318352061</v>
          </cell>
          <cell r="H15">
            <v>15751.310861423221</v>
          </cell>
        </row>
        <row r="16">
          <cell r="B16">
            <v>13000.370370370369</v>
          </cell>
          <cell r="C16">
            <v>13521.111111111109</v>
          </cell>
          <cell r="D16">
            <v>13724.814814814814</v>
          </cell>
          <cell r="E16">
            <v>13987.407407407407</v>
          </cell>
          <cell r="F16">
            <v>14182.222222222221</v>
          </cell>
          <cell r="G16">
            <v>14343.703703703703</v>
          </cell>
          <cell r="H16">
            <v>14505.185185185184</v>
          </cell>
        </row>
        <row r="17">
          <cell r="B17">
            <v>19998.888888888887</v>
          </cell>
          <cell r="C17">
            <v>21267.777777777777</v>
          </cell>
          <cell r="D17">
            <v>22473.703703703701</v>
          </cell>
          <cell r="E17">
            <v>23778.148148148146</v>
          </cell>
          <cell r="F17">
            <v>24970.740740740741</v>
          </cell>
          <cell r="G17">
            <v>26107.407407407405</v>
          </cell>
          <cell r="H17">
            <v>27244.074074074073</v>
          </cell>
        </row>
        <row r="18">
          <cell r="B18">
            <v>29147.131147540986</v>
          </cell>
          <cell r="C18">
            <v>29000.819672131147</v>
          </cell>
          <cell r="D18">
            <v>28854.508196721312</v>
          </cell>
          <cell r="E18">
            <v>28730.327868852459</v>
          </cell>
          <cell r="F18">
            <v>28579.918032786885</v>
          </cell>
          <cell r="G18">
            <v>28413.934426229509</v>
          </cell>
          <cell r="H18">
            <v>28247.950819672133</v>
          </cell>
        </row>
        <row r="19">
          <cell r="B19">
            <v>22553.409090909088</v>
          </cell>
          <cell r="C19">
            <v>23737.878787878788</v>
          </cell>
          <cell r="D19">
            <v>25917.42424242424</v>
          </cell>
          <cell r="E19">
            <v>28215.151515151512</v>
          </cell>
          <cell r="F19">
            <v>30377.651515151512</v>
          </cell>
          <cell r="G19">
            <v>32472.727272727272</v>
          </cell>
          <cell r="H19">
            <v>34567.803030303032</v>
          </cell>
        </row>
        <row r="20">
          <cell r="B20">
            <v>927795.43834321212</v>
          </cell>
          <cell r="C20">
            <v>978229.0634266726</v>
          </cell>
          <cell r="D20">
            <v>1023819.5606846005</v>
          </cell>
          <cell r="E20">
            <v>1080345.1980058779</v>
          </cell>
          <cell r="F20">
            <v>1124373.8185789513</v>
          </cell>
          <cell r="G20">
            <v>1162154.8452123569</v>
          </cell>
          <cell r="H20">
            <v>1199937.474486527</v>
          </cell>
        </row>
        <row r="25">
          <cell r="B25">
            <v>78118.110272349833</v>
          </cell>
          <cell r="C25">
            <v>89850.995756635995</v>
          </cell>
          <cell r="D25">
            <v>101106.73557506967</v>
          </cell>
          <cell r="E25">
            <v>112930.15576881029</v>
          </cell>
          <cell r="F25">
            <v>123871.36887506816</v>
          </cell>
          <cell r="G25">
            <v>134279.88883520477</v>
          </cell>
          <cell r="H25">
            <v>144305.92835179277</v>
          </cell>
        </row>
        <row r="26">
          <cell r="B26">
            <v>62900.065001515526</v>
          </cell>
          <cell r="C26">
            <v>64772.098242800428</v>
          </cell>
          <cell r="D26">
            <v>68436.789884863145</v>
          </cell>
          <cell r="E26">
            <v>72197.519729530657</v>
          </cell>
          <cell r="F26">
            <v>75694.1409936821</v>
          </cell>
          <cell r="G26">
            <v>78990.39399638414</v>
          </cell>
          <cell r="H26">
            <v>82065.494631212743</v>
          </cell>
        </row>
        <row r="27">
          <cell r="B27">
            <v>12959.717452026909</v>
          </cell>
          <cell r="C27">
            <v>12632.207565521598</v>
          </cell>
          <cell r="D27">
            <v>12908.718353130655</v>
          </cell>
          <cell r="E27">
            <v>13137.226562660404</v>
          </cell>
          <cell r="F27">
            <v>13391.272981705424</v>
          </cell>
          <cell r="G27">
            <v>13644.912840821866</v>
          </cell>
          <cell r="H27">
            <v>13861.21290667062</v>
          </cell>
        </row>
        <row r="28">
          <cell r="B28">
            <v>567028.37717431888</v>
          </cell>
          <cell r="C28">
            <v>578170.23256435327</v>
          </cell>
          <cell r="D28">
            <v>602892.67712969484</v>
          </cell>
          <cell r="E28">
            <v>631309.38483333518</v>
          </cell>
          <cell r="F28">
            <v>654157.26302249788</v>
          </cell>
          <cell r="G28">
            <v>673602.49725562707</v>
          </cell>
          <cell r="H28">
            <v>691173.5992834717</v>
          </cell>
        </row>
        <row r="29">
          <cell r="B29">
            <v>13308.632058178353</v>
          </cell>
          <cell r="C29">
            <v>11939.222886231993</v>
          </cell>
          <cell r="D29">
            <v>11872.680510981079</v>
          </cell>
          <cell r="E29">
            <v>11780.356388883729</v>
          </cell>
          <cell r="F29">
            <v>11697.141410319467</v>
          </cell>
          <cell r="G29">
            <v>11603.688046293422</v>
          </cell>
          <cell r="H29">
            <v>11478.965828778975</v>
          </cell>
        </row>
        <row r="30">
          <cell r="B30">
            <v>26331.464977965825</v>
          </cell>
          <cell r="C30">
            <v>25040.267517642667</v>
          </cell>
          <cell r="D30">
            <v>25545.280529872802</v>
          </cell>
          <cell r="E30">
            <v>26121.623083338196</v>
          </cell>
          <cell r="F30">
            <v>26560.02415873779</v>
          </cell>
          <cell r="G30">
            <v>26903.029190797286</v>
          </cell>
          <cell r="H30">
            <v>27172.186896102765</v>
          </cell>
        </row>
        <row r="31">
          <cell r="B31">
            <v>72348.571468226306</v>
          </cell>
          <cell r="C31">
            <v>73410.200531692884</v>
          </cell>
          <cell r="D31">
            <v>77308.70975235579</v>
          </cell>
          <cell r="E31">
            <v>83318.459501214587</v>
          </cell>
          <cell r="F31">
            <v>86741.595509421531</v>
          </cell>
          <cell r="G31">
            <v>88794.244514833277</v>
          </cell>
          <cell r="H31">
            <v>90600.932082701795</v>
          </cell>
        </row>
        <row r="32">
          <cell r="B32">
            <v>23836.701115451906</v>
          </cell>
          <cell r="C32">
            <v>19802.167470978518</v>
          </cell>
          <cell r="D32">
            <v>19970.042604725259</v>
          </cell>
          <cell r="E32">
            <v>20063.378820749596</v>
          </cell>
          <cell r="F32">
            <v>20193.389068250723</v>
          </cell>
          <cell r="G32">
            <v>20326.31077553819</v>
          </cell>
          <cell r="H32">
            <v>20403.296518393418</v>
          </cell>
        </row>
        <row r="33">
          <cell r="B33">
            <v>15956.862786278114</v>
          </cell>
          <cell r="C33">
            <v>16477.156973197554</v>
          </cell>
          <cell r="D33">
            <v>17338.303734605357</v>
          </cell>
          <cell r="E33">
            <v>18199.274303413313</v>
          </cell>
          <cell r="F33">
            <v>19022.055129515229</v>
          </cell>
          <cell r="G33">
            <v>19807.272305442544</v>
          </cell>
          <cell r="H33">
            <v>20537.090511097416</v>
          </cell>
        </row>
        <row r="34">
          <cell r="B34">
            <v>27935.493881974326</v>
          </cell>
          <cell r="C34">
            <v>25793.492548875591</v>
          </cell>
          <cell r="D34">
            <v>25776.591461969252</v>
          </cell>
          <cell r="E34">
            <v>25733.165824790362</v>
          </cell>
          <cell r="F34">
            <v>25664.606094221632</v>
          </cell>
          <cell r="G34">
            <v>25553.15987797681</v>
          </cell>
          <cell r="H34">
            <v>25371.772593765862</v>
          </cell>
        </row>
        <row r="35">
          <cell r="B35">
            <v>14258.132048274012</v>
          </cell>
          <cell r="C35">
            <v>14163.567559554631</v>
          </cell>
          <cell r="D35">
            <v>14671.102137492231</v>
          </cell>
          <cell r="E35">
            <v>15276.572942704059</v>
          </cell>
          <cell r="F35">
            <v>15737.898182093253</v>
          </cell>
          <cell r="G35">
            <v>16112.362654164626</v>
          </cell>
          <cell r="H35">
            <v>16442.121708534189</v>
          </cell>
        </row>
        <row r="36">
          <cell r="B36">
            <v>15110.372976638864</v>
          </cell>
          <cell r="C36">
            <v>14148.818334087462</v>
          </cell>
          <cell r="D36">
            <v>14386.574447686917</v>
          </cell>
          <cell r="E36">
            <v>14617.967774424251</v>
          </cell>
          <cell r="F36">
            <v>14824.369306190054</v>
          </cell>
          <cell r="G36">
            <v>15003.556024950127</v>
          </cell>
          <cell r="H36">
            <v>15141.344254956335</v>
          </cell>
        </row>
        <row r="37">
          <cell r="B37">
            <v>21746.570465356308</v>
          </cell>
          <cell r="C37">
            <v>22255.11806498218</v>
          </cell>
          <cell r="D37">
            <v>23557.302288668656</v>
          </cell>
          <cell r="E37">
            <v>24850.080736265721</v>
          </cell>
          <cell r="F37">
            <v>26101.373733224689</v>
          </cell>
          <cell r="G37">
            <v>27308.424504201983</v>
          </cell>
          <cell r="H37">
            <v>28438.927128238513</v>
          </cell>
        </row>
        <row r="38">
          <cell r="B38">
            <v>32134.010474214716</v>
          </cell>
          <cell r="C38">
            <v>30347.16050394874</v>
          </cell>
          <cell r="D38">
            <v>30245.765492984148</v>
          </cell>
          <cell r="E38">
            <v>30025.507565692056</v>
          </cell>
          <cell r="F38">
            <v>29873.968481103591</v>
          </cell>
          <cell r="G38">
            <v>29721.058511764684</v>
          </cell>
          <cell r="H38">
            <v>29486.831253597073</v>
          </cell>
        </row>
        <row r="39">
          <cell r="B39">
            <v>23733.662391003534</v>
          </cell>
          <cell r="C39">
            <v>24839.891621797746</v>
          </cell>
          <cell r="D39">
            <v>27167.066250937463</v>
          </cell>
          <cell r="E39">
            <v>29487.106765801316</v>
          </cell>
          <cell r="F39">
            <v>31753.100301145012</v>
          </cell>
          <cell r="G39">
            <v>33966.567699909159</v>
          </cell>
          <cell r="H39">
            <v>36083.855472173957</v>
          </cell>
        </row>
        <row r="40">
          <cell r="B40">
            <v>1007706.7445437734</v>
          </cell>
          <cell r="C40">
            <v>1023642.5981423013</v>
          </cell>
          <cell r="D40">
            <v>1073184.3401550374</v>
          </cell>
          <cell r="E40">
            <v>1129047.7806016137</v>
          </cell>
          <cell r="F40">
            <v>1175283.5672471765</v>
          </cell>
          <cell r="G40">
            <v>1215617.3670339105</v>
          </cell>
          <cell r="H40">
            <v>1252563.5594214879</v>
          </cell>
        </row>
      </sheetData>
      <sheetData sheetId="5">
        <row r="5">
          <cell r="B5">
            <v>114389.92413126798</v>
          </cell>
          <cell r="C5">
            <v>131186.63107932551</v>
          </cell>
          <cell r="D5">
            <v>145617.01772124134</v>
          </cell>
          <cell r="E5">
            <v>160908.83423406418</v>
          </cell>
          <cell r="F5">
            <v>175060.97963970108</v>
          </cell>
          <cell r="G5">
            <v>188910.12620136855</v>
          </cell>
          <cell r="H5">
            <v>203501.86921322648</v>
          </cell>
        </row>
        <row r="6">
          <cell r="B6">
            <v>79491.903285702196</v>
          </cell>
          <cell r="C6">
            <v>83279.83018830081</v>
          </cell>
          <cell r="D6">
            <v>86584.286321202089</v>
          </cell>
          <cell r="E6">
            <v>91240.898754609778</v>
          </cell>
          <cell r="F6">
            <v>96110.935497821672</v>
          </cell>
          <cell r="G6">
            <v>101063.43016630705</v>
          </cell>
          <cell r="H6">
            <v>105823.14125995073</v>
          </cell>
        </row>
        <row r="7">
          <cell r="B7">
            <v>13091.732367403902</v>
          </cell>
          <cell r="C7">
            <v>13259.188003093421</v>
          </cell>
          <cell r="D7">
            <v>13500.823800426693</v>
          </cell>
          <cell r="E7">
            <v>13710.653946818587</v>
          </cell>
          <cell r="F7">
            <v>13907.413869142081</v>
          </cell>
          <cell r="G7">
            <v>14167.661040924217</v>
          </cell>
          <cell r="H7">
            <v>14477.230914798842</v>
          </cell>
        </row>
        <row r="8">
          <cell r="B8">
            <v>725945.30623729003</v>
          </cell>
          <cell r="C8">
            <v>752919.55874096463</v>
          </cell>
          <cell r="D8">
            <v>778090.40265000088</v>
          </cell>
          <cell r="E8">
            <v>816565.89548856055</v>
          </cell>
          <cell r="F8">
            <v>849881.72862449905</v>
          </cell>
          <cell r="G8">
            <v>878308.77401864063</v>
          </cell>
          <cell r="H8">
            <v>902850.64160867722</v>
          </cell>
        </row>
        <row r="9">
          <cell r="B9">
            <v>13165.576372162826</v>
          </cell>
          <cell r="C9">
            <v>12798.856736000202</v>
          </cell>
          <cell r="D9">
            <v>12451.436021155878</v>
          </cell>
          <cell r="E9">
            <v>12298.913021729726</v>
          </cell>
          <cell r="F9">
            <v>12215.301794177216</v>
          </cell>
          <cell r="G9">
            <v>12198.688124955257</v>
          </cell>
          <cell r="H9">
            <v>12149.162639378845</v>
          </cell>
        </row>
        <row r="10">
          <cell r="B10">
            <v>30451.148846560838</v>
          </cell>
          <cell r="C10">
            <v>30390.677056344637</v>
          </cell>
          <cell r="D10">
            <v>30385.609568602733</v>
          </cell>
          <cell r="E10">
            <v>30961.628892251047</v>
          </cell>
          <cell r="F10">
            <v>31618.284535444822</v>
          </cell>
          <cell r="G10">
            <v>32387.776757952204</v>
          </cell>
          <cell r="H10">
            <v>33079.705622734145</v>
          </cell>
        </row>
        <row r="11">
          <cell r="B11">
            <v>89326.340446150032</v>
          </cell>
          <cell r="C11">
            <v>93968.446464219334</v>
          </cell>
          <cell r="D11">
            <v>97616.573915163099</v>
          </cell>
          <cell r="E11">
            <v>105362.44790178182</v>
          </cell>
          <cell r="F11">
            <v>110545.55188525499</v>
          </cell>
          <cell r="G11">
            <v>114498.05933479617</v>
          </cell>
          <cell r="H11">
            <v>117973.54083389559</v>
          </cell>
        </row>
        <row r="12">
          <cell r="B12">
            <v>22430.256181439574</v>
          </cell>
          <cell r="C12">
            <v>21992.6941007102</v>
          </cell>
          <cell r="D12">
            <v>21829.166970187638</v>
          </cell>
          <cell r="E12">
            <v>21858.222502170138</v>
          </cell>
          <cell r="F12">
            <v>22077.684490716943</v>
          </cell>
          <cell r="G12">
            <v>22454.509730066988</v>
          </cell>
          <cell r="H12">
            <v>22802.332174204665</v>
          </cell>
        </row>
        <row r="13">
          <cell r="B13">
            <v>19955.977767099161</v>
          </cell>
          <cell r="C13">
            <v>20969.475901170055</v>
          </cell>
          <cell r="D13">
            <v>21734.556661799499</v>
          </cell>
          <cell r="E13">
            <v>22718.130020440753</v>
          </cell>
          <cell r="F13">
            <v>23730.529323951243</v>
          </cell>
          <cell r="G13">
            <v>24704.558350955318</v>
          </cell>
          <cell r="H13">
            <v>25715.844141484642</v>
          </cell>
        </row>
        <row r="14">
          <cell r="B14">
            <v>27944.845700350405</v>
          </cell>
          <cell r="C14">
            <v>27312.38465740329</v>
          </cell>
          <cell r="D14">
            <v>27117.487280889552</v>
          </cell>
          <cell r="E14">
            <v>27520.589024146786</v>
          </cell>
          <cell r="F14">
            <v>27825.412926366211</v>
          </cell>
          <cell r="G14">
            <v>27821.499811460162</v>
          </cell>
          <cell r="H14">
            <v>27630.683556300926</v>
          </cell>
        </row>
        <row r="15">
          <cell r="B15">
            <v>18028.606555811461</v>
          </cell>
          <cell r="C15">
            <v>18537.802222534559</v>
          </cell>
          <cell r="D15">
            <v>18719.360910407075</v>
          </cell>
          <cell r="E15">
            <v>19231.718851082951</v>
          </cell>
          <cell r="F15">
            <v>19721.208595579676</v>
          </cell>
          <cell r="G15">
            <v>20252.884750951809</v>
          </cell>
          <cell r="H15">
            <v>20862.089327040179</v>
          </cell>
        </row>
        <row r="16">
          <cell r="B16">
            <v>15798.15878283543</v>
          </cell>
          <cell r="C16">
            <v>16047.360468890871</v>
          </cell>
          <cell r="D16">
            <v>15991.875835526644</v>
          </cell>
          <cell r="E16">
            <v>16126.31460254726</v>
          </cell>
          <cell r="F16">
            <v>16343.635406205625</v>
          </cell>
          <cell r="G16">
            <v>16611.529587405388</v>
          </cell>
          <cell r="H16">
            <v>16898.892868333049</v>
          </cell>
        </row>
        <row r="17">
          <cell r="B17">
            <v>25981.51166926232</v>
          </cell>
          <cell r="C17">
            <v>27469.339025035071</v>
          </cell>
          <cell r="D17">
            <v>28855.664258845565</v>
          </cell>
          <cell r="E17">
            <v>30522.985917565511</v>
          </cell>
          <cell r="F17">
            <v>32143.420413626558</v>
          </cell>
          <cell r="G17">
            <v>33647.224449790068</v>
          </cell>
          <cell r="H17">
            <v>35016.47742959905</v>
          </cell>
        </row>
        <row r="18">
          <cell r="B18">
            <v>32772.718199238792</v>
          </cell>
          <cell r="C18">
            <v>31952.618047856249</v>
          </cell>
          <cell r="D18">
            <v>31415.917286194868</v>
          </cell>
          <cell r="E18">
            <v>31196.237741315228</v>
          </cell>
          <cell r="F18">
            <v>31158.517859491578</v>
          </cell>
          <cell r="G18">
            <v>31132.927231552934</v>
          </cell>
          <cell r="H18">
            <v>31090.099695485649</v>
          </cell>
        </row>
        <row r="19">
          <cell r="B19">
            <v>32729.434555779168</v>
          </cell>
          <cell r="C19">
            <v>33764.906118467326</v>
          </cell>
          <cell r="D19">
            <v>35980.749764032029</v>
          </cell>
          <cell r="E19">
            <v>38766.441106230028</v>
          </cell>
          <cell r="F19">
            <v>42006.95684972193</v>
          </cell>
          <cell r="G19">
            <v>45551.512659386048</v>
          </cell>
          <cell r="H19">
            <v>48990.371744692784</v>
          </cell>
        </row>
        <row r="20">
          <cell r="B20">
            <v>1261503.4410983541</v>
          </cell>
          <cell r="C20">
            <v>1315849.768810316</v>
          </cell>
          <cell r="D20">
            <v>1365890.9289656756</v>
          </cell>
          <cell r="E20">
            <v>1438989.9120053146</v>
          </cell>
          <cell r="F20">
            <v>1504347.5617117009</v>
          </cell>
          <cell r="G20">
            <v>1563711.162216513</v>
          </cell>
          <cell r="H20">
            <v>1618862.0830298024</v>
          </cell>
        </row>
        <row r="25">
          <cell r="B25">
            <v>111335.78041435702</v>
          </cell>
          <cell r="C25">
            <v>127725.14896018124</v>
          </cell>
          <cell r="D25">
            <v>141809.29842934397</v>
          </cell>
          <cell r="E25">
            <v>156745.32279098243</v>
          </cell>
          <cell r="F25">
            <v>170552.38646401546</v>
          </cell>
          <cell r="G25">
            <v>184043.86451323694</v>
          </cell>
          <cell r="H25">
            <v>198234.73924956858</v>
          </cell>
        </row>
        <row r="26">
          <cell r="B26">
            <v>76138.360906999034</v>
          </cell>
          <cell r="C26">
            <v>79745.120952505589</v>
          </cell>
          <cell r="D26">
            <v>82919.697853921229</v>
          </cell>
          <cell r="E26">
            <v>87392.127612758617</v>
          </cell>
          <cell r="F26">
            <v>92057.483755038455</v>
          </cell>
          <cell r="G26">
            <v>96794.147584334336</v>
          </cell>
          <cell r="H26">
            <v>101341.57417715498</v>
          </cell>
        </row>
        <row r="27">
          <cell r="B27">
            <v>12436.28031370558</v>
          </cell>
          <cell r="C27">
            <v>12591.986770452721</v>
          </cell>
          <cell r="D27">
            <v>12823.592837027492</v>
          </cell>
          <cell r="E27">
            <v>13019.7820971646</v>
          </cell>
          <cell r="F27">
            <v>13220.271482899805</v>
          </cell>
          <cell r="G27">
            <v>13471.562565988474</v>
          </cell>
          <cell r="H27">
            <v>13763.204890321625</v>
          </cell>
        </row>
        <row r="28">
          <cell r="B28">
            <v>690253.54017102916</v>
          </cell>
          <cell r="C28">
            <v>715847.32991193177</v>
          </cell>
          <cell r="D28">
            <v>739679.18103110814</v>
          </cell>
          <cell r="E28">
            <v>776481.70170126739</v>
          </cell>
          <cell r="F28">
            <v>808149.05588250014</v>
          </cell>
          <cell r="G28">
            <v>835226.46386402426</v>
          </cell>
          <cell r="H28">
            <v>858616.17203593871</v>
          </cell>
        </row>
        <row r="29">
          <cell r="B29">
            <v>12666.417598141934</v>
          </cell>
          <cell r="C29">
            <v>12321.791121419543</v>
          </cell>
          <cell r="D29">
            <v>11987.448637440692</v>
          </cell>
          <cell r="E29">
            <v>11841.091175286179</v>
          </cell>
          <cell r="F29">
            <v>11762.68873136991</v>
          </cell>
          <cell r="G29">
            <v>11744.891363306799</v>
          </cell>
          <cell r="H29">
            <v>11693.64213172241</v>
          </cell>
        </row>
        <row r="30">
          <cell r="B30">
            <v>29137.951748750078</v>
          </cell>
          <cell r="C30">
            <v>29069.018050881285</v>
          </cell>
          <cell r="D30">
            <v>29055.896409794845</v>
          </cell>
          <cell r="E30">
            <v>29602.505481968579</v>
          </cell>
          <cell r="F30">
            <v>30222.518410452365</v>
          </cell>
          <cell r="G30">
            <v>30952.217838746008</v>
          </cell>
          <cell r="H30">
            <v>31611.063039717621</v>
          </cell>
        </row>
        <row r="31">
          <cell r="B31">
            <v>85825.134269092508</v>
          </cell>
          <cell r="C31">
            <v>90277.653744404335</v>
          </cell>
          <cell r="D31">
            <v>93771.229559812025</v>
          </cell>
          <cell r="E31">
            <v>101207.49128483077</v>
          </cell>
          <cell r="F31">
            <v>106186.70258054114</v>
          </cell>
          <cell r="G31">
            <v>110000.20640946127</v>
          </cell>
          <cell r="H31">
            <v>113356.33481840862</v>
          </cell>
        </row>
        <row r="32">
          <cell r="B32">
            <v>21427.946773936193</v>
          </cell>
          <cell r="C32">
            <v>21022.82496334978</v>
          </cell>
          <cell r="D32">
            <v>20870.230520062727</v>
          </cell>
          <cell r="E32">
            <v>20902.017444389065</v>
          </cell>
          <cell r="F32">
            <v>21107.711031592204</v>
          </cell>
          <cell r="G32">
            <v>21463.637549722556</v>
          </cell>
          <cell r="H32">
            <v>21792.494083628051</v>
          </cell>
        </row>
        <row r="33">
          <cell r="B33">
            <v>19186.439102798147</v>
          </cell>
          <cell r="C33">
            <v>20163.57879367737</v>
          </cell>
          <cell r="D33">
            <v>20905.495353920513</v>
          </cell>
          <cell r="E33">
            <v>21854.205462015918</v>
          </cell>
          <cell r="F33">
            <v>22838.547464874962</v>
          </cell>
          <cell r="G33">
            <v>23792.464023804445</v>
          </cell>
          <cell r="H33">
            <v>24771.688076500493</v>
          </cell>
        </row>
        <row r="34">
          <cell r="B34">
            <v>26199.425729390183</v>
          </cell>
          <cell r="C34">
            <v>25586.829822131502</v>
          </cell>
          <cell r="D34">
            <v>25379.235950962153</v>
          </cell>
          <cell r="E34">
            <v>25738.975156604567</v>
          </cell>
          <cell r="F34">
            <v>26023.512588321257</v>
          </cell>
          <cell r="G34">
            <v>26034.337432885586</v>
          </cell>
          <cell r="H34">
            <v>25881.081478315729</v>
          </cell>
        </row>
        <row r="35">
          <cell r="B35">
            <v>17527.984182592922</v>
          </cell>
          <cell r="C35">
            <v>18023.537407270564</v>
          </cell>
          <cell r="D35">
            <v>18220.411119200431</v>
          </cell>
          <cell r="E35">
            <v>18723.234791208819</v>
          </cell>
          <cell r="F35">
            <v>19188.119746120767</v>
          </cell>
          <cell r="G35">
            <v>19707.524249753395</v>
          </cell>
          <cell r="H35">
            <v>20304.659138979339</v>
          </cell>
        </row>
        <row r="36">
          <cell r="B36">
            <v>14842.119673865027</v>
          </cell>
          <cell r="C36">
            <v>15069.796314808724</v>
          </cell>
          <cell r="D36">
            <v>15026.073358960335</v>
          </cell>
          <cell r="E36">
            <v>15163.324024498359</v>
          </cell>
          <cell r="F36">
            <v>15360.747861785583</v>
          </cell>
          <cell r="G36">
            <v>15608.148766972316</v>
          </cell>
          <cell r="H36">
            <v>15877.735552356873</v>
          </cell>
        </row>
        <row r="37">
          <cell r="B37">
            <v>24819.892327712791</v>
          </cell>
          <cell r="C37">
            <v>26252.470521294577</v>
          </cell>
          <cell r="D37">
            <v>27579.481324333341</v>
          </cell>
          <cell r="E37">
            <v>29175.115313987932</v>
          </cell>
          <cell r="F37">
            <v>30746.130663432334</v>
          </cell>
          <cell r="G37">
            <v>32193.643730303927</v>
          </cell>
          <cell r="H37">
            <v>33518.962434637535</v>
          </cell>
        </row>
        <row r="38">
          <cell r="B38">
            <v>30710.846056993552</v>
          </cell>
          <cell r="C38">
            <v>29922.03227769661</v>
          </cell>
          <cell r="D38">
            <v>29407.876265683353</v>
          </cell>
          <cell r="E38">
            <v>29190.01013077614</v>
          </cell>
          <cell r="F38">
            <v>29166.356203596701</v>
          </cell>
          <cell r="G38">
            <v>29146.198321212112</v>
          </cell>
          <cell r="H38">
            <v>29117.515315499484</v>
          </cell>
        </row>
        <row r="39">
          <cell r="B39">
            <v>31771.773094608314</v>
          </cell>
          <cell r="C39">
            <v>32797.643841184668</v>
          </cell>
          <cell r="D39">
            <v>34959.671778061806</v>
          </cell>
          <cell r="E39">
            <v>37650.419169121633</v>
          </cell>
          <cell r="F39">
            <v>40765.964580791129</v>
          </cell>
          <cell r="G39">
            <v>44177.973439867681</v>
          </cell>
          <cell r="H39">
            <v>47523.218903722758</v>
          </cell>
        </row>
        <row r="40">
          <cell r="B40">
            <v>1204279.8923639723</v>
          </cell>
          <cell r="C40">
            <v>1256416.7634531902</v>
          </cell>
          <cell r="D40">
            <v>1304394.8204296334</v>
          </cell>
          <cell r="E40">
            <v>1374687.3236368611</v>
          </cell>
          <cell r="F40">
            <v>1437348.1974473326</v>
          </cell>
          <cell r="G40">
            <v>1494357.2816536203</v>
          </cell>
          <cell r="H40">
            <v>1547404.0853264728</v>
          </cell>
        </row>
      </sheetData>
      <sheetData sheetId="6" refreshError="1"/>
      <sheetData sheetId="7" refreshError="1"/>
      <sheetData sheetId="8" refreshError="1"/>
      <sheetData sheetId="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E27" sqref="E27"/>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88" t="s">
        <v>58</v>
      </c>
      <c r="E1" s="88"/>
      <c r="F1" s="88"/>
      <c r="G1" s="88"/>
      <c r="H1" s="88"/>
      <c r="I1" s="88"/>
      <c r="J1" s="88"/>
      <c r="K1" s="88"/>
      <c r="L1" s="88"/>
      <c r="M1" s="88"/>
      <c r="N1" s="88"/>
      <c r="O1" s="88"/>
      <c r="P1" s="88"/>
      <c r="Q1" s="88"/>
      <c r="R1" s="88"/>
      <c r="S1" s="88"/>
      <c r="T1" s="88"/>
      <c r="U1" s="88"/>
      <c r="V1" s="88"/>
      <c r="W1" s="88"/>
    </row>
    <row r="2" spans="1:45" s="9" customFormat="1" ht="34.5" customHeight="1" x14ac:dyDescent="0.25">
      <c r="A2" s="90" t="s">
        <v>41</v>
      </c>
      <c r="B2" s="90"/>
      <c r="C2" s="90"/>
      <c r="D2" s="90"/>
      <c r="E2" s="90"/>
      <c r="F2" s="90"/>
      <c r="G2" s="90"/>
      <c r="H2" s="90"/>
      <c r="I2" s="90"/>
      <c r="J2" s="90"/>
      <c r="K2" s="90"/>
      <c r="L2" s="90"/>
      <c r="M2" s="90"/>
      <c r="N2" s="90"/>
      <c r="O2" s="90"/>
      <c r="P2" s="90"/>
      <c r="Q2" s="90"/>
      <c r="R2" s="90"/>
      <c r="S2" s="90"/>
      <c r="T2" s="90"/>
      <c r="U2" s="90"/>
      <c r="V2" s="90"/>
      <c r="W2" s="90"/>
      <c r="AM2" s="91" t="s">
        <v>118</v>
      </c>
      <c r="AN2" s="91"/>
      <c r="AO2" s="91"/>
      <c r="AQ2" s="91" t="s">
        <v>119</v>
      </c>
      <c r="AR2" s="91"/>
      <c r="AS2" s="91"/>
    </row>
    <row r="3" spans="1:45" s="5" customFormat="1" x14ac:dyDescent="0.3">
      <c r="B3" s="4">
        <v>1980</v>
      </c>
      <c r="C3" s="4">
        <v>1990</v>
      </c>
      <c r="D3" s="4">
        <v>2000</v>
      </c>
      <c r="E3" s="4">
        <v>2010</v>
      </c>
      <c r="F3" s="4">
        <v>2020</v>
      </c>
      <c r="G3" s="4">
        <v>2021</v>
      </c>
      <c r="H3" s="89">
        <v>2025</v>
      </c>
      <c r="I3" s="89"/>
      <c r="J3" s="89"/>
      <c r="K3" s="89"/>
      <c r="L3" s="89"/>
      <c r="M3" s="89">
        <v>2030</v>
      </c>
      <c r="N3" s="89"/>
      <c r="O3" s="89"/>
      <c r="P3" s="89"/>
      <c r="Q3" s="89"/>
      <c r="R3" s="89">
        <v>2035</v>
      </c>
      <c r="S3" s="89"/>
      <c r="T3" s="89"/>
      <c r="U3" s="89"/>
      <c r="V3" s="89"/>
      <c r="W3" s="89">
        <v>2040</v>
      </c>
      <c r="X3" s="89"/>
      <c r="Y3" s="89"/>
      <c r="Z3" s="89"/>
      <c r="AA3" s="89"/>
      <c r="AB3" s="89">
        <v>2045</v>
      </c>
      <c r="AC3" s="89"/>
      <c r="AD3" s="89"/>
      <c r="AE3" s="89"/>
      <c r="AF3" s="89"/>
      <c r="AG3" s="89">
        <v>2050</v>
      </c>
      <c r="AH3" s="89"/>
      <c r="AI3" s="89"/>
      <c r="AJ3" s="89"/>
      <c r="AK3" s="89"/>
      <c r="AM3" s="92" t="s">
        <v>120</v>
      </c>
      <c r="AN3" s="92"/>
      <c r="AO3" s="92"/>
      <c r="AP3" s="4"/>
      <c r="AQ3" s="92" t="s">
        <v>121</v>
      </c>
      <c r="AR3" s="92"/>
      <c r="AS3" s="92"/>
    </row>
    <row r="4" spans="1:45" s="6" customFormat="1" ht="31.8" x14ac:dyDescent="0.3">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3">
      <c r="A5" s="73" t="s">
        <v>18</v>
      </c>
      <c r="B5" s="70">
        <v>53840</v>
      </c>
      <c r="C5" s="70">
        <v>67482</v>
      </c>
      <c r="D5" s="70">
        <v>111759</v>
      </c>
      <c r="E5" s="70">
        <v>175099</v>
      </c>
      <c r="F5" s="70">
        <v>215062</v>
      </c>
      <c r="G5" s="70">
        <v>220740</v>
      </c>
      <c r="H5" s="70">
        <v>247016</v>
      </c>
      <c r="I5" s="71">
        <v>248441</v>
      </c>
      <c r="J5" s="71">
        <v>238464</v>
      </c>
      <c r="K5" s="71">
        <f>I5-$H$5</f>
        <v>1425</v>
      </c>
      <c r="L5" s="71">
        <f>J5-$H5</f>
        <v>-8552</v>
      </c>
      <c r="M5" s="70">
        <f>'[1]County TOTAL projected POP'!D13</f>
        <v>277484</v>
      </c>
      <c r="N5" s="71">
        <v>287218</v>
      </c>
      <c r="O5" s="71">
        <v>256467</v>
      </c>
      <c r="P5" s="71">
        <f>N5-$M5</f>
        <v>9734</v>
      </c>
      <c r="Q5" s="71">
        <f t="shared" ref="Q5:Q19" si="0">O5-$M5</f>
        <v>-21017</v>
      </c>
      <c r="R5" s="74">
        <f>'[1]County TOTAL projected POP'!E13</f>
        <v>310863</v>
      </c>
      <c r="S5" s="71">
        <v>329249</v>
      </c>
      <c r="T5" s="71">
        <v>271216</v>
      </c>
      <c r="U5" s="71">
        <f>S5-$R5</f>
        <v>18386</v>
      </c>
      <c r="V5" s="71">
        <f>T5-$R5</f>
        <v>-39647</v>
      </c>
      <c r="W5" s="74">
        <f>'[1]County TOTAL projected POP'!F13</f>
        <v>340917</v>
      </c>
      <c r="X5" s="71">
        <v>373888</v>
      </c>
      <c r="Y5" s="71">
        <v>283357</v>
      </c>
      <c r="Z5" s="71">
        <f>X5-$W5</f>
        <v>32971</v>
      </c>
      <c r="AA5" s="71">
        <f t="shared" ref="AA5:AA19" si="1">Y5-$W5</f>
        <v>-57560</v>
      </c>
      <c r="AB5" s="74">
        <f>'[1]County TOTAL projected POP'!G13</f>
        <v>369307</v>
      </c>
      <c r="AC5" s="71">
        <v>420768</v>
      </c>
      <c r="AD5" s="71">
        <v>293257</v>
      </c>
      <c r="AE5" s="71">
        <f>AC5-$AB5</f>
        <v>51461</v>
      </c>
      <c r="AF5" s="71">
        <f t="shared" ref="AF5:AF19" si="2">AD5-$AB5</f>
        <v>-76050</v>
      </c>
      <c r="AG5" s="74">
        <f>'[1]County TOTAL projected POP'!H13</f>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3">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f>'[1]County TOTAL projected POP'!D14</f>
        <v>178449</v>
      </c>
      <c r="N6" s="71">
        <v>188541</v>
      </c>
      <c r="O6" s="71">
        <v>164104</v>
      </c>
      <c r="P6" s="71">
        <f t="shared" ref="P6:P19" si="6">N6-$M6</f>
        <v>10092</v>
      </c>
      <c r="Q6" s="71">
        <f t="shared" si="0"/>
        <v>-14345</v>
      </c>
      <c r="R6" s="74">
        <f>'[1]County TOTAL projected POP'!E14</f>
        <v>188820</v>
      </c>
      <c r="S6" s="71">
        <v>208055</v>
      </c>
      <c r="T6" s="71">
        <v>161542</v>
      </c>
      <c r="U6" s="71">
        <f t="shared" ref="U6:U19" si="7">S6-$R6</f>
        <v>19235</v>
      </c>
      <c r="V6" s="71">
        <f t="shared" ref="V6:V19" si="8">T6-$R6</f>
        <v>-27278</v>
      </c>
      <c r="W6" s="74">
        <f>'[1]County TOTAL projected POP'!F14</f>
        <v>197928</v>
      </c>
      <c r="X6" s="71">
        <v>229705</v>
      </c>
      <c r="Y6" s="71">
        <v>156843</v>
      </c>
      <c r="Z6" s="71">
        <f t="shared" ref="Z6:Z19" si="9">X6-$W6</f>
        <v>31777</v>
      </c>
      <c r="AA6" s="71">
        <f t="shared" si="1"/>
        <v>-41085</v>
      </c>
      <c r="AB6" s="74">
        <f>'[1]County TOTAL projected POP'!G14</f>
        <v>206404</v>
      </c>
      <c r="AC6" s="71">
        <v>253189</v>
      </c>
      <c r="AD6" s="71">
        <v>150311</v>
      </c>
      <c r="AE6" s="71">
        <f t="shared" ref="AE6:AE19" si="10">AC6-$AB6</f>
        <v>46785</v>
      </c>
      <c r="AF6" s="71">
        <f t="shared" si="2"/>
        <v>-56093</v>
      </c>
      <c r="AG6" s="74">
        <f>'[1]County TOTAL projected POP'!H14</f>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3">
      <c r="A7" s="73" t="s">
        <v>44</v>
      </c>
      <c r="B7" s="70">
        <v>27467</v>
      </c>
      <c r="C7" s="70">
        <v>27501</v>
      </c>
      <c r="D7" s="70">
        <v>28495</v>
      </c>
      <c r="E7" s="70">
        <v>29014</v>
      </c>
      <c r="F7" s="70">
        <v>28939</v>
      </c>
      <c r="G7" s="70">
        <v>28906</v>
      </c>
      <c r="H7" s="70">
        <v>29419</v>
      </c>
      <c r="I7" s="71">
        <v>29855</v>
      </c>
      <c r="J7" s="71">
        <v>28912</v>
      </c>
      <c r="K7" s="71">
        <f t="shared" si="4"/>
        <v>436</v>
      </c>
      <c r="L7" s="71">
        <f t="shared" si="5"/>
        <v>-507</v>
      </c>
      <c r="M7" s="70">
        <f>'[1]County TOTAL projected POP'!D15</f>
        <v>30011</v>
      </c>
      <c r="N7" s="71">
        <v>31216</v>
      </c>
      <c r="O7" s="71">
        <v>28691</v>
      </c>
      <c r="P7" s="71">
        <f t="shared" si="6"/>
        <v>1205</v>
      </c>
      <c r="Q7" s="71">
        <f t="shared" si="0"/>
        <v>-1320</v>
      </c>
      <c r="R7" s="74">
        <f>'[1]County TOTAL projected POP'!E15</f>
        <v>30634</v>
      </c>
      <c r="S7" s="71">
        <v>32814</v>
      </c>
      <c r="T7" s="71">
        <v>28240</v>
      </c>
      <c r="U7" s="71">
        <f t="shared" si="7"/>
        <v>2180</v>
      </c>
      <c r="V7" s="71">
        <f t="shared" si="8"/>
        <v>-2394</v>
      </c>
      <c r="W7" s="74">
        <f>'[1]County TOTAL projected POP'!F15</f>
        <v>31220</v>
      </c>
      <c r="X7" s="71">
        <v>34594</v>
      </c>
      <c r="Y7" s="71">
        <v>27601</v>
      </c>
      <c r="Z7" s="71">
        <f t="shared" si="9"/>
        <v>3374</v>
      </c>
      <c r="AA7" s="71">
        <f t="shared" si="1"/>
        <v>-3619</v>
      </c>
      <c r="AB7" s="74">
        <f>'[1]County TOTAL projected POP'!G15</f>
        <v>31790</v>
      </c>
      <c r="AC7" s="71">
        <v>36534</v>
      </c>
      <c r="AD7" s="71">
        <v>26802</v>
      </c>
      <c r="AE7" s="71">
        <f t="shared" si="10"/>
        <v>4744</v>
      </c>
      <c r="AF7" s="71">
        <f t="shared" si="2"/>
        <v>-4988</v>
      </c>
      <c r="AG7" s="74">
        <f>'[1]County TOTAL projected POP'!H15</f>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3">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f>'[1]County TOTAL projected POP'!D16</f>
        <v>1447090</v>
      </c>
      <c r="N8" s="71">
        <v>1506988</v>
      </c>
      <c r="O8" s="71">
        <v>1327469</v>
      </c>
      <c r="P8" s="71">
        <f t="shared" si="6"/>
        <v>59898</v>
      </c>
      <c r="Q8" s="71">
        <f t="shared" si="0"/>
        <v>-119621</v>
      </c>
      <c r="R8" s="74">
        <f>'[1]County TOTAL projected POP'!E16</f>
        <v>1519844</v>
      </c>
      <c r="S8" s="71">
        <v>1617180</v>
      </c>
      <c r="T8" s="71">
        <v>1308636</v>
      </c>
      <c r="U8" s="71">
        <f t="shared" si="7"/>
        <v>97336</v>
      </c>
      <c r="V8" s="71">
        <f t="shared" si="8"/>
        <v>-211208</v>
      </c>
      <c r="W8" s="74">
        <f>'[1]County TOTAL projected POP'!F16</f>
        <v>1574551</v>
      </c>
      <c r="X8" s="71">
        <v>1738045</v>
      </c>
      <c r="Y8" s="71">
        <v>1279131</v>
      </c>
      <c r="Z8" s="71">
        <f t="shared" si="9"/>
        <v>163494</v>
      </c>
      <c r="AA8" s="71">
        <f t="shared" si="1"/>
        <v>-295420</v>
      </c>
      <c r="AB8" s="74">
        <f>'[1]County TOTAL projected POP'!G16</f>
        <v>1620232</v>
      </c>
      <c r="AC8" s="71">
        <v>1868239</v>
      </c>
      <c r="AD8" s="71">
        <v>1240296</v>
      </c>
      <c r="AE8" s="71">
        <f t="shared" si="10"/>
        <v>248007</v>
      </c>
      <c r="AF8" s="71">
        <f t="shared" si="2"/>
        <v>-379936</v>
      </c>
      <c r="AG8" s="74">
        <f>'[1]County TOTAL projected POP'!H16</f>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3">
      <c r="A9" s="73" t="s">
        <v>45</v>
      </c>
      <c r="B9" s="70">
        <v>24304</v>
      </c>
      <c r="C9" s="70">
        <v>25594</v>
      </c>
      <c r="D9" s="70">
        <v>28262</v>
      </c>
      <c r="E9" s="70">
        <v>29478</v>
      </c>
      <c r="F9" s="70">
        <v>27999</v>
      </c>
      <c r="G9" s="70">
        <v>28097</v>
      </c>
      <c r="H9" s="70">
        <v>27965</v>
      </c>
      <c r="I9" s="71">
        <v>28660</v>
      </c>
      <c r="J9" s="71">
        <v>27122</v>
      </c>
      <c r="K9" s="71">
        <f t="shared" si="4"/>
        <v>695</v>
      </c>
      <c r="L9" s="71">
        <f t="shared" si="5"/>
        <v>-843</v>
      </c>
      <c r="M9" s="70">
        <f>'[1]County TOTAL projected POP'!D17</f>
        <v>27762</v>
      </c>
      <c r="N9" s="71">
        <v>29751</v>
      </c>
      <c r="O9" s="71">
        <v>25535</v>
      </c>
      <c r="P9" s="71">
        <f t="shared" si="6"/>
        <v>1989</v>
      </c>
      <c r="Q9" s="71">
        <f t="shared" si="0"/>
        <v>-2227</v>
      </c>
      <c r="R9" s="74">
        <f>'[1]County TOTAL projected POP'!E17</f>
        <v>27629</v>
      </c>
      <c r="S9" s="71">
        <v>31239</v>
      </c>
      <c r="T9" s="71">
        <v>23571</v>
      </c>
      <c r="U9" s="71">
        <f t="shared" si="7"/>
        <v>3610</v>
      </c>
      <c r="V9" s="71">
        <f t="shared" si="8"/>
        <v>-4058</v>
      </c>
      <c r="W9" s="74">
        <f>'[1]County TOTAL projected POP'!F17</f>
        <v>27428</v>
      </c>
      <c r="X9" s="71">
        <v>33041</v>
      </c>
      <c r="Y9" s="71">
        <v>21295</v>
      </c>
      <c r="Z9" s="71">
        <f t="shared" si="9"/>
        <v>5613</v>
      </c>
      <c r="AA9" s="71">
        <f t="shared" si="1"/>
        <v>-6133</v>
      </c>
      <c r="AB9" s="74">
        <f>'[1]County TOTAL projected POP'!G17</f>
        <v>27190</v>
      </c>
      <c r="AC9" s="71">
        <v>35114</v>
      </c>
      <c r="AD9" s="71">
        <v>18747</v>
      </c>
      <c r="AE9" s="71">
        <f t="shared" si="10"/>
        <v>7924</v>
      </c>
      <c r="AF9" s="71">
        <f t="shared" si="2"/>
        <v>-8443</v>
      </c>
      <c r="AG9" s="74">
        <f>'[1]County TOTAL projected POP'!H17</f>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3">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f>'[1]County TOTAL projected POP'!D18</f>
        <v>65339</v>
      </c>
      <c r="N10" s="71">
        <v>69227</v>
      </c>
      <c r="O10" s="71">
        <v>59572</v>
      </c>
      <c r="P10" s="71">
        <f t="shared" si="6"/>
        <v>3888</v>
      </c>
      <c r="Q10" s="71">
        <f t="shared" si="0"/>
        <v>-5767</v>
      </c>
      <c r="R10" s="74">
        <f>'[1]County TOTAL projected POP'!E18</f>
        <v>67013</v>
      </c>
      <c r="S10" s="71">
        <v>74288</v>
      </c>
      <c r="T10" s="71">
        <v>56176</v>
      </c>
      <c r="U10" s="71">
        <f t="shared" si="7"/>
        <v>7275</v>
      </c>
      <c r="V10" s="71">
        <f t="shared" si="8"/>
        <v>-10837</v>
      </c>
      <c r="W10" s="74">
        <f>'[1]County TOTAL projected POP'!F18</f>
        <v>68125</v>
      </c>
      <c r="X10" s="71">
        <v>80150</v>
      </c>
      <c r="Y10" s="71">
        <v>51978</v>
      </c>
      <c r="Z10" s="71">
        <f t="shared" si="9"/>
        <v>12025</v>
      </c>
      <c r="AA10" s="71">
        <f t="shared" si="1"/>
        <v>-16147</v>
      </c>
      <c r="AB10" s="74">
        <f>'[1]County TOTAL projected POP'!G18</f>
        <v>68957</v>
      </c>
      <c r="AC10" s="71">
        <v>86702</v>
      </c>
      <c r="AD10" s="71">
        <v>47091</v>
      </c>
      <c r="AE10" s="71">
        <f t="shared" si="10"/>
        <v>17745</v>
      </c>
      <c r="AF10" s="71">
        <f t="shared" si="2"/>
        <v>-21866</v>
      </c>
      <c r="AG10" s="74">
        <f>'[1]County TOTAL projected POP'!H18</f>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3">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f>'[1]County TOTAL projected POP'!D19</f>
        <v>200710</v>
      </c>
      <c r="N11" s="71">
        <v>203164</v>
      </c>
      <c r="O11" s="71">
        <v>173324</v>
      </c>
      <c r="P11" s="71">
        <f t="shared" si="6"/>
        <v>2454</v>
      </c>
      <c r="Q11" s="71">
        <f t="shared" si="0"/>
        <v>-27386</v>
      </c>
      <c r="R11" s="74">
        <f>'[1]County TOTAL projected POP'!E19</f>
        <v>216962</v>
      </c>
      <c r="S11" s="71">
        <v>219200</v>
      </c>
      <c r="T11" s="71">
        <v>167658</v>
      </c>
      <c r="U11" s="71">
        <f t="shared" si="7"/>
        <v>2238</v>
      </c>
      <c r="V11" s="71">
        <f t="shared" si="8"/>
        <v>-49304</v>
      </c>
      <c r="W11" s="74">
        <f>'[1]County TOTAL projected POP'!F19</f>
        <v>225833</v>
      </c>
      <c r="X11" s="71">
        <v>237045</v>
      </c>
      <c r="Y11" s="71">
        <v>160181</v>
      </c>
      <c r="Z11" s="71">
        <f t="shared" si="9"/>
        <v>11212</v>
      </c>
      <c r="AA11" s="71">
        <f t="shared" si="1"/>
        <v>-65652</v>
      </c>
      <c r="AB11" s="74">
        <f>'[1]County TOTAL projected POP'!G19</f>
        <v>231017</v>
      </c>
      <c r="AC11" s="71">
        <v>256471</v>
      </c>
      <c r="AD11" s="71">
        <v>151123</v>
      </c>
      <c r="AE11" s="71">
        <f t="shared" si="10"/>
        <v>25454</v>
      </c>
      <c r="AF11" s="71">
        <f t="shared" si="2"/>
        <v>-79894</v>
      </c>
      <c r="AG11" s="74">
        <f>'[1]County TOTAL projected POP'!H19</f>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3">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f>'[1]County TOTAL projected POP'!D20</f>
        <v>46407</v>
      </c>
      <c r="N12" s="71">
        <v>49351</v>
      </c>
      <c r="O12" s="71">
        <v>43377</v>
      </c>
      <c r="P12" s="71">
        <f t="shared" si="6"/>
        <v>2944</v>
      </c>
      <c r="Q12" s="71">
        <f t="shared" si="0"/>
        <v>-3030</v>
      </c>
      <c r="R12" s="74">
        <f>'[1]County TOTAL projected POP'!E20</f>
        <v>46763</v>
      </c>
      <c r="S12" s="71">
        <v>51833</v>
      </c>
      <c r="T12" s="71">
        <v>41448</v>
      </c>
      <c r="U12" s="71">
        <f t="shared" si="7"/>
        <v>5070</v>
      </c>
      <c r="V12" s="71">
        <f t="shared" si="8"/>
        <v>-5315</v>
      </c>
      <c r="W12" s="74">
        <f>'[1]County TOTAL projected POP'!F20</f>
        <v>47058</v>
      </c>
      <c r="X12" s="71">
        <v>54679</v>
      </c>
      <c r="Y12" s="71">
        <v>39156</v>
      </c>
      <c r="Z12" s="71">
        <f t="shared" si="9"/>
        <v>7621</v>
      </c>
      <c r="AA12" s="71">
        <f t="shared" si="1"/>
        <v>-7902</v>
      </c>
      <c r="AB12" s="74">
        <f>'[1]County TOTAL projected POP'!G20</f>
        <v>47335</v>
      </c>
      <c r="AC12" s="71">
        <v>57844</v>
      </c>
      <c r="AD12" s="71">
        <v>36544</v>
      </c>
      <c r="AE12" s="71">
        <f t="shared" si="10"/>
        <v>10509</v>
      </c>
      <c r="AF12" s="71">
        <f t="shared" si="2"/>
        <v>-10791</v>
      </c>
      <c r="AG12" s="74">
        <f>'[1]County TOTAL projected POP'!H20</f>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3">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f>'[1]County TOTAL projected POP'!D21</f>
        <v>48833</v>
      </c>
      <c r="N13" s="71">
        <v>58168</v>
      </c>
      <c r="O13" s="71">
        <v>38616</v>
      </c>
      <c r="P13" s="71">
        <f t="shared" si="6"/>
        <v>9335</v>
      </c>
      <c r="Q13" s="71">
        <f t="shared" si="0"/>
        <v>-10217</v>
      </c>
      <c r="R13" s="74">
        <f>'[1]County TOTAL projected POP'!E21</f>
        <v>51412</v>
      </c>
      <c r="S13" s="71">
        <v>68798</v>
      </c>
      <c r="T13" s="71">
        <v>32345</v>
      </c>
      <c r="U13" s="71">
        <f t="shared" si="7"/>
        <v>17386</v>
      </c>
      <c r="V13" s="71">
        <f t="shared" si="8"/>
        <v>-19067</v>
      </c>
      <c r="W13" s="74">
        <f>'[1]County TOTAL projected POP'!F21</f>
        <v>53726</v>
      </c>
      <c r="X13" s="71">
        <v>81014</v>
      </c>
      <c r="Y13" s="71">
        <v>24486</v>
      </c>
      <c r="Z13" s="71">
        <f t="shared" si="9"/>
        <v>27288</v>
      </c>
      <c r="AA13" s="71">
        <f t="shared" si="1"/>
        <v>-29240</v>
      </c>
      <c r="AB13" s="74">
        <f>'[1]County TOTAL projected POP'!G21</f>
        <v>55905</v>
      </c>
      <c r="AC13" s="71">
        <v>94597</v>
      </c>
      <c r="AD13" s="71">
        <v>15261</v>
      </c>
      <c r="AE13" s="71">
        <f t="shared" si="10"/>
        <v>38692</v>
      </c>
      <c r="AF13" s="71">
        <f t="shared" si="2"/>
        <v>-40644</v>
      </c>
      <c r="AG13" s="74">
        <f>'[1]County TOTAL projected POP'!H21</f>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3">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f>'[1]County TOTAL projected POP'!D22</f>
        <v>65160</v>
      </c>
      <c r="N14" s="71">
        <v>66651</v>
      </c>
      <c r="O14" s="71">
        <v>62754</v>
      </c>
      <c r="P14" s="71">
        <f t="shared" si="6"/>
        <v>1491</v>
      </c>
      <c r="Q14" s="71">
        <f t="shared" si="0"/>
        <v>-2406</v>
      </c>
      <c r="R14" s="74">
        <f>'[1]County TOTAL projected POP'!E22</f>
        <v>65246</v>
      </c>
      <c r="S14" s="71">
        <v>66806</v>
      </c>
      <c r="T14" s="71">
        <v>61945</v>
      </c>
      <c r="U14" s="71">
        <f t="shared" si="7"/>
        <v>1560</v>
      </c>
      <c r="V14" s="71">
        <f t="shared" si="8"/>
        <v>-3301</v>
      </c>
      <c r="W14" s="74">
        <f>'[1]County TOTAL projected POP'!F22</f>
        <v>65059</v>
      </c>
      <c r="X14" s="71">
        <v>66879</v>
      </c>
      <c r="Y14" s="71">
        <v>61217</v>
      </c>
      <c r="Z14" s="71">
        <f t="shared" si="9"/>
        <v>1820</v>
      </c>
      <c r="AA14" s="71">
        <f t="shared" si="1"/>
        <v>-3842</v>
      </c>
      <c r="AB14" s="74">
        <f>'[1]County TOTAL projected POP'!G22</f>
        <v>64732</v>
      </c>
      <c r="AC14" s="71">
        <v>66903</v>
      </c>
      <c r="AD14" s="71">
        <v>60539</v>
      </c>
      <c r="AE14" s="71">
        <f t="shared" si="10"/>
        <v>2171</v>
      </c>
      <c r="AF14" s="71">
        <f t="shared" si="2"/>
        <v>-4193</v>
      </c>
      <c r="AG14" s="74">
        <f>'[1]County TOTAL projected POP'!H22</f>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3">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f>'[1]County TOTAL projected POP'!D23</f>
        <v>37666</v>
      </c>
      <c r="N15" s="71">
        <v>41222</v>
      </c>
      <c r="O15" s="71">
        <v>32447</v>
      </c>
      <c r="P15" s="71">
        <f t="shared" si="6"/>
        <v>3556</v>
      </c>
      <c r="Q15" s="71">
        <f t="shared" si="0"/>
        <v>-5219</v>
      </c>
      <c r="R15" s="74">
        <f>'[1]County TOTAL projected POP'!E23</f>
        <v>39338</v>
      </c>
      <c r="S15" s="71">
        <v>46050</v>
      </c>
      <c r="T15" s="71">
        <v>29489</v>
      </c>
      <c r="U15" s="71">
        <f t="shared" si="7"/>
        <v>6712</v>
      </c>
      <c r="V15" s="71">
        <f t="shared" si="8"/>
        <v>-9849</v>
      </c>
      <c r="W15" s="74">
        <f>'[1]County TOTAL projected POP'!F23</f>
        <v>40519</v>
      </c>
      <c r="X15" s="71">
        <v>51621</v>
      </c>
      <c r="Y15" s="71">
        <v>25788</v>
      </c>
      <c r="Z15" s="71">
        <f t="shared" si="9"/>
        <v>11102</v>
      </c>
      <c r="AA15" s="71">
        <f t="shared" si="1"/>
        <v>-14731</v>
      </c>
      <c r="AB15" s="74">
        <f>'[1]County TOTAL projected POP'!G23</f>
        <v>41454</v>
      </c>
      <c r="AC15" s="71">
        <v>57832</v>
      </c>
      <c r="AD15" s="71">
        <v>21447</v>
      </c>
      <c r="AE15" s="71">
        <f t="shared" si="10"/>
        <v>16378</v>
      </c>
      <c r="AF15" s="71">
        <f t="shared" si="2"/>
        <v>-20007</v>
      </c>
      <c r="AG15" s="74">
        <f>'[1]County TOTAL projected POP'!H23</f>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3">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f>'[1]County TOTAL projected POP'!D24</f>
        <v>37415</v>
      </c>
      <c r="N16" s="71">
        <v>41469</v>
      </c>
      <c r="O16" s="71">
        <v>32732</v>
      </c>
      <c r="P16" s="71">
        <f t="shared" si="6"/>
        <v>4054</v>
      </c>
      <c r="Q16" s="71">
        <f t="shared" si="0"/>
        <v>-4683</v>
      </c>
      <c r="R16" s="74">
        <f>'[1]County TOTAL projected POP'!E24</f>
        <v>38131</v>
      </c>
      <c r="S16" s="71">
        <v>44979</v>
      </c>
      <c r="T16" s="71">
        <v>30102</v>
      </c>
      <c r="U16" s="71">
        <f t="shared" si="7"/>
        <v>6848</v>
      </c>
      <c r="V16" s="71">
        <f t="shared" si="8"/>
        <v>-8029</v>
      </c>
      <c r="W16" s="74">
        <f>'[1]County TOTAL projected POP'!F24</f>
        <v>38662</v>
      </c>
      <c r="X16" s="71">
        <v>48989</v>
      </c>
      <c r="Y16" s="71">
        <v>26972</v>
      </c>
      <c r="Z16" s="71">
        <f t="shared" si="9"/>
        <v>10327</v>
      </c>
      <c r="AA16" s="71">
        <f t="shared" si="1"/>
        <v>-11690</v>
      </c>
      <c r="AB16" s="74">
        <f>'[1]County TOTAL projected POP'!G24</f>
        <v>39102</v>
      </c>
      <c r="AC16" s="71">
        <v>53437</v>
      </c>
      <c r="AD16" s="71">
        <v>23404</v>
      </c>
      <c r="AE16" s="71">
        <f t="shared" si="10"/>
        <v>14335</v>
      </c>
      <c r="AF16" s="71">
        <f t="shared" si="2"/>
        <v>-15698</v>
      </c>
      <c r="AG16" s="74">
        <f>'[1]County TOTAL projected POP'!H24</f>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3">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f>'[1]County TOTAL projected POP'!D25</f>
        <v>65891</v>
      </c>
      <c r="N17" s="71">
        <v>77450</v>
      </c>
      <c r="O17" s="71">
        <v>53249</v>
      </c>
      <c r="P17" s="71">
        <f t="shared" si="6"/>
        <v>11559</v>
      </c>
      <c r="Q17" s="71">
        <f t="shared" si="0"/>
        <v>-12642</v>
      </c>
      <c r="R17" s="74">
        <f>'[1]County TOTAL projected POP'!E25</f>
        <v>69716</v>
      </c>
      <c r="S17" s="71">
        <v>91360</v>
      </c>
      <c r="T17" s="71">
        <v>46004</v>
      </c>
      <c r="U17" s="71">
        <f t="shared" si="7"/>
        <v>21644</v>
      </c>
      <c r="V17" s="71">
        <f t="shared" si="8"/>
        <v>-23712</v>
      </c>
      <c r="W17" s="74">
        <f>'[1]County TOTAL projected POP'!F25</f>
        <v>73212</v>
      </c>
      <c r="X17" s="71">
        <v>107272</v>
      </c>
      <c r="Y17" s="71">
        <v>36758</v>
      </c>
      <c r="Z17" s="71">
        <f t="shared" si="9"/>
        <v>34060</v>
      </c>
      <c r="AA17" s="71">
        <f t="shared" si="1"/>
        <v>-36454</v>
      </c>
      <c r="AB17" s="74">
        <f>'[1]County TOTAL projected POP'!G25</f>
        <v>76545</v>
      </c>
      <c r="AC17" s="71">
        <v>124906</v>
      </c>
      <c r="AD17" s="71">
        <v>25789</v>
      </c>
      <c r="AE17" s="71">
        <f t="shared" si="10"/>
        <v>48361</v>
      </c>
      <c r="AF17" s="71">
        <f t="shared" si="2"/>
        <v>-50756</v>
      </c>
      <c r="AG17" s="74">
        <f>'[1]County TOTAL projected POP'!H25</f>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3">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f>'[1]County TOTAL projected POP'!D26</f>
        <v>76204</v>
      </c>
      <c r="N18" s="71">
        <v>85847</v>
      </c>
      <c r="O18" s="71">
        <v>66369</v>
      </c>
      <c r="P18" s="71">
        <f t="shared" si="6"/>
        <v>9643</v>
      </c>
      <c r="Q18" s="71">
        <f t="shared" si="0"/>
        <v>-9835</v>
      </c>
      <c r="R18" s="74">
        <f>'[1]County TOTAL projected POP'!E26</f>
        <v>75876</v>
      </c>
      <c r="S18" s="71">
        <v>94070</v>
      </c>
      <c r="T18" s="71">
        <v>57266</v>
      </c>
      <c r="U18" s="71">
        <f t="shared" si="7"/>
        <v>18194</v>
      </c>
      <c r="V18" s="71">
        <f t="shared" si="8"/>
        <v>-18610</v>
      </c>
      <c r="W18" s="74">
        <f>'[1]County TOTAL projected POP'!F26</f>
        <v>75478</v>
      </c>
      <c r="X18" s="71">
        <v>103952</v>
      </c>
      <c r="Y18" s="71">
        <v>46512</v>
      </c>
      <c r="Z18" s="71">
        <f t="shared" si="9"/>
        <v>28474</v>
      </c>
      <c r="AA18" s="71">
        <f t="shared" si="1"/>
        <v>-28966</v>
      </c>
      <c r="AB18" s="74">
        <f>'[1]County TOTAL projected POP'!G26</f>
        <v>75040</v>
      </c>
      <c r="AC18" s="71">
        <v>115258</v>
      </c>
      <c r="AD18" s="71">
        <v>34330</v>
      </c>
      <c r="AE18" s="71">
        <f t="shared" si="10"/>
        <v>40218</v>
      </c>
      <c r="AF18" s="71">
        <f t="shared" si="2"/>
        <v>-40710</v>
      </c>
      <c r="AG18" s="74">
        <f>'[1]County TOTAL projected POP'!H26</f>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3">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f>'[1]County TOTAL projected POP'!D27</f>
        <v>72505</v>
      </c>
      <c r="N19" s="71">
        <v>80350</v>
      </c>
      <c r="O19" s="71">
        <v>63404</v>
      </c>
      <c r="P19" s="71">
        <f t="shared" si="6"/>
        <v>7845</v>
      </c>
      <c r="Q19" s="71">
        <f t="shared" si="0"/>
        <v>-9101</v>
      </c>
      <c r="R19" s="74">
        <f>'[1]County TOTAL projected POP'!E27</f>
        <v>78933</v>
      </c>
      <c r="S19" s="71">
        <v>92220</v>
      </c>
      <c r="T19" s="71">
        <v>63255</v>
      </c>
      <c r="U19" s="71">
        <f t="shared" si="7"/>
        <v>13287</v>
      </c>
      <c r="V19" s="71">
        <f t="shared" si="8"/>
        <v>-15678</v>
      </c>
      <c r="W19" s="74">
        <f>'[1]County TOTAL projected POP'!F27</f>
        <v>84983</v>
      </c>
      <c r="X19" s="71">
        <v>105075</v>
      </c>
      <c r="Y19" s="71">
        <v>62122</v>
      </c>
      <c r="Z19" s="71">
        <f t="shared" si="9"/>
        <v>20092</v>
      </c>
      <c r="AA19" s="71">
        <f t="shared" si="1"/>
        <v>-22861</v>
      </c>
      <c r="AB19" s="74">
        <f>'[1]County TOTAL projected POP'!G27</f>
        <v>90844</v>
      </c>
      <c r="AC19" s="71">
        <v>118792</v>
      </c>
      <c r="AD19" s="71">
        <v>60127</v>
      </c>
      <c r="AE19" s="71">
        <f t="shared" si="10"/>
        <v>27948</v>
      </c>
      <c r="AF19" s="71">
        <f t="shared" si="2"/>
        <v>-30717</v>
      </c>
      <c r="AG19" s="74">
        <f>'[1]County TOTAL projected POP'!H27</f>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3">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3">
      <c r="A21" s="68"/>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59</v>
      </c>
      <c r="D1" s="88"/>
      <c r="E1" s="88"/>
      <c r="F1" s="88"/>
      <c r="G1" s="88"/>
      <c r="H1" s="88"/>
      <c r="I1" s="88"/>
      <c r="J1" s="88"/>
      <c r="K1" s="88"/>
      <c r="L1" s="88"/>
      <c r="M1" s="88"/>
      <c r="N1" s="88"/>
      <c r="O1" s="88"/>
      <c r="P1" s="88"/>
      <c r="Q1" s="88"/>
      <c r="R1" s="88"/>
    </row>
    <row r="2" spans="1:18" s="9" customFormat="1" ht="26.25" customHeight="1" x14ac:dyDescent="0.3">
      <c r="A2" s="90" t="s">
        <v>42</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62</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3">
      <c r="A6" s="28" t="s">
        <v>19</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3">
      <c r="A7" s="28" t="s">
        <v>44</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3">
      <c r="A8" s="28" t="s">
        <v>20</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3">
      <c r="A9" s="28" t="s">
        <v>45</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3">
      <c r="A10" s="28" t="s">
        <v>46</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3">
      <c r="A11" s="28" t="s">
        <v>21</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3">
      <c r="A12" s="28" t="s">
        <v>47</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3">
      <c r="A13" s="28" t="s">
        <v>22</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3">
      <c r="A14" s="28" t="s">
        <v>48</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3">
      <c r="A15" s="28" t="s">
        <v>49</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3">
      <c r="A16" s="28" t="s">
        <v>50</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3">
      <c r="A17" s="28" t="s">
        <v>23</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3">
      <c r="A18" s="28" t="s">
        <v>51</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3">
      <c r="A19" s="28" t="s">
        <v>24</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3">
      <c r="A20" s="32" t="s">
        <v>86</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3">
      <c r="A22" s="90" t="s">
        <v>43</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K23" s="93" t="s">
        <v>62</v>
      </c>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3">
      <c r="A26" s="28" t="s">
        <v>19</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3">
      <c r="A27" s="28" t="s">
        <v>44</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3">
      <c r="A28" s="28" t="s">
        <v>20</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3">
      <c r="A29" s="28" t="s">
        <v>45</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3">
      <c r="A30" s="28" t="s">
        <v>46</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3">
      <c r="A31" s="28" t="s">
        <v>21</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3">
      <c r="A32" s="28" t="s">
        <v>47</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3">
      <c r="A33" s="28" t="s">
        <v>22</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3">
      <c r="A34" s="28" t="s">
        <v>48</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3">
      <c r="A35" s="28" t="s">
        <v>49</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3">
      <c r="A36" s="28" t="s">
        <v>50</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3">
      <c r="A37" s="28" t="s">
        <v>23</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3">
      <c r="A38" s="28" t="s">
        <v>51</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3">
      <c r="A39" s="28" t="s">
        <v>24</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3">
      <c r="A40" s="32" t="s">
        <v>86</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3">
      <c r="A41" s="11"/>
      <c r="B41" s="2"/>
      <c r="C41" s="2"/>
      <c r="D41" s="2"/>
      <c r="E41" s="2"/>
      <c r="F41" s="2"/>
      <c r="G41" s="2"/>
      <c r="H41" s="2"/>
      <c r="I41" s="2"/>
    </row>
    <row r="42" spans="1:18" s="9" customFormat="1" ht="26.25" customHeight="1" x14ac:dyDescent="0.3">
      <c r="A42" s="90" t="s">
        <v>54</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K43" s="93" t="s">
        <v>62</v>
      </c>
      <c r="L43" s="93"/>
      <c r="M43" s="93"/>
      <c r="N43" s="93"/>
      <c r="O43" s="93"/>
      <c r="P43" s="93"/>
      <c r="Q43" s="93"/>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3">
      <c r="A46" s="28" t="s">
        <v>19</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3">
      <c r="A47" s="28" t="s">
        <v>44</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3">
      <c r="A48" s="28" t="s">
        <v>20</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3">
      <c r="A49" s="28" t="s">
        <v>45</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3">
      <c r="A50" s="28" t="s">
        <v>46</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3">
      <c r="A51" s="28" t="s">
        <v>21</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3">
      <c r="A52" s="28" t="s">
        <v>47</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3">
      <c r="A53" s="28" t="s">
        <v>22</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3">
      <c r="A54" s="28" t="s">
        <v>48</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3">
      <c r="A55" s="28" t="s">
        <v>49</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3">
      <c r="A56" s="28" t="s">
        <v>50</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3">
      <c r="A57" s="28" t="s">
        <v>23</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3">
      <c r="A58" s="28" t="s">
        <v>51</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3">
      <c r="A59" s="28" t="s">
        <v>24</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3">
      <c r="A60" s="32" t="s">
        <v>86</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3">
      <c r="B63" s="50" t="s">
        <v>112</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election activeCell="B46" sqref="B46"/>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67</v>
      </c>
      <c r="D1" s="88"/>
      <c r="E1" s="88"/>
      <c r="F1" s="88"/>
      <c r="G1" s="88"/>
      <c r="H1" s="88"/>
      <c r="I1" s="88"/>
      <c r="J1" s="88"/>
      <c r="K1" s="88"/>
      <c r="L1" s="88"/>
      <c r="M1" s="88"/>
      <c r="N1" s="88"/>
      <c r="O1" s="88"/>
      <c r="P1" s="88"/>
      <c r="Q1" s="88"/>
      <c r="R1" s="88"/>
    </row>
    <row r="2" spans="1:18" s="9" customFormat="1" ht="26.25" customHeight="1" x14ac:dyDescent="0.3">
      <c r="A2" s="90" t="s">
        <v>73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81</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f>'[3]GQ &amp; HH projection POP '!N57</f>
        <v>2739</v>
      </c>
      <c r="C5" s="63">
        <f>'[3]GQ &amp; HH projection POP '!O57</f>
        <v>3160</v>
      </c>
      <c r="D5" s="63">
        <f>'[3]GQ &amp; HH projection POP '!P57</f>
        <v>3549</v>
      </c>
      <c r="E5" s="63">
        <f>'[3]GQ &amp; HH projection POP '!Q57</f>
        <v>3976</v>
      </c>
      <c r="F5" s="63">
        <f>'[3]GQ &amp; HH projection POP '!R57</f>
        <v>4361</v>
      </c>
      <c r="G5" s="63">
        <f>'[3]GQ &amp; HH projection POP '!S57</f>
        <v>4724</v>
      </c>
      <c r="H5" s="63">
        <f>'[3]GQ &amp; HH projection POP '!T57</f>
        <v>5087</v>
      </c>
      <c r="J5" s="37"/>
      <c r="K5" s="38">
        <f t="shared" ref="K5:K20" si="0">B5/(B5+B25)</f>
        <v>1.2795717008633254E-2</v>
      </c>
      <c r="L5" s="38">
        <f t="shared" ref="L5:L20" si="1">C5/(C5+C25)</f>
        <v>1.2797719090065971E-2</v>
      </c>
      <c r="M5" s="38">
        <f t="shared" ref="M5:M20" si="2">D5/(D5+D25)</f>
        <v>1.2794814296735861E-2</v>
      </c>
      <c r="N5" s="38">
        <f t="shared" ref="N5:N20" si="3">E5/(E5+E25)</f>
        <v>1.2794686472257802E-2</v>
      </c>
      <c r="O5" s="38">
        <f t="shared" ref="O5:O20" si="4">F5/(F5+F25)</f>
        <v>1.2795948487578163E-2</v>
      </c>
      <c r="P5" s="38">
        <f t="shared" ref="P5:P20" si="5">G5/(G5+G25)</f>
        <v>1.2795440879320899E-2</v>
      </c>
      <c r="Q5" s="38">
        <f t="shared" ref="Q5:Q20" si="6">H5/(H5+H25)</f>
        <v>1.2795134478447977E-2</v>
      </c>
    </row>
    <row r="6" spans="1:18" s="7" customFormat="1" x14ac:dyDescent="0.3">
      <c r="A6" s="36" t="s">
        <v>19</v>
      </c>
      <c r="B6" s="63">
        <f>'[3]GQ &amp; HH projection POP '!N58</f>
        <v>3095</v>
      </c>
      <c r="C6" s="63">
        <f>'[3]GQ &amp; HH projection POP '!O58</f>
        <v>3295</v>
      </c>
      <c r="D6" s="63">
        <f>'[3]GQ &amp; HH projection POP '!P58</f>
        <v>3475</v>
      </c>
      <c r="E6" s="63">
        <f>'[3]GQ &amp; HH projection POP '!Q58</f>
        <v>3677</v>
      </c>
      <c r="F6" s="63">
        <f>'[3]GQ &amp; HH projection POP '!R58</f>
        <v>3855</v>
      </c>
      <c r="G6" s="63">
        <f>'[3]GQ &amp; HH projection POP '!S58</f>
        <v>4020</v>
      </c>
      <c r="H6" s="63">
        <f>'[3]GQ &amp; HH projection POP '!T58</f>
        <v>4185</v>
      </c>
      <c r="J6" s="37"/>
      <c r="K6" s="38">
        <f t="shared" si="0"/>
        <v>1.9479865560604725E-2</v>
      </c>
      <c r="L6" s="38">
        <f t="shared" si="1"/>
        <v>1.9483322394290407E-2</v>
      </c>
      <c r="M6" s="38">
        <f t="shared" si="2"/>
        <v>1.9482303340864628E-2</v>
      </c>
      <c r="N6" s="38">
        <f t="shared" si="3"/>
        <v>1.9481723631855293E-2</v>
      </c>
      <c r="O6" s="38">
        <f t="shared" si="4"/>
        <v>1.9483276222821967E-2</v>
      </c>
      <c r="P6" s="38">
        <f t="shared" si="5"/>
        <v>1.9481180307531269E-2</v>
      </c>
      <c r="Q6" s="38">
        <f t="shared" si="6"/>
        <v>1.9479794077397857E-2</v>
      </c>
    </row>
    <row r="7" spans="1:18" s="7" customFormat="1" x14ac:dyDescent="0.3">
      <c r="A7" s="36" t="s">
        <v>44</v>
      </c>
      <c r="B7" s="63">
        <f>'[3]GQ &amp; HH projection POP '!N59</f>
        <v>320</v>
      </c>
      <c r="C7" s="63">
        <f>'[3]GQ &amp; HH projection POP '!O59</f>
        <v>326</v>
      </c>
      <c r="D7" s="63">
        <f>'[3]GQ &amp; HH projection POP '!P59</f>
        <v>332</v>
      </c>
      <c r="E7" s="63">
        <f>'[3]GQ &amp; HH projection POP '!Q59</f>
        <v>339</v>
      </c>
      <c r="F7" s="63">
        <f>'[3]GQ &amp; HH projection POP '!R59</f>
        <v>345</v>
      </c>
      <c r="G7" s="63">
        <f>'[3]GQ &amp; HH projection POP '!S59</f>
        <v>352</v>
      </c>
      <c r="H7" s="63">
        <f>'[3]GQ &amp; HH projection POP '!T59</f>
        <v>358</v>
      </c>
      <c r="J7" s="37"/>
      <c r="K7" s="38">
        <f t="shared" si="0"/>
        <v>1.1058506410477936E-2</v>
      </c>
      <c r="L7" s="38">
        <f t="shared" si="1"/>
        <v>1.1092585661301847E-2</v>
      </c>
      <c r="M7" s="38">
        <f t="shared" si="2"/>
        <v>1.1080332409972297E-2</v>
      </c>
      <c r="N7" s="38">
        <f t="shared" si="3"/>
        <v>1.1084589477814469E-2</v>
      </c>
      <c r="O7" s="38">
        <f t="shared" si="4"/>
        <v>1.1067624791479533E-2</v>
      </c>
      <c r="P7" s="38">
        <f t="shared" si="5"/>
        <v>1.1086963368925007E-2</v>
      </c>
      <c r="Q7" s="38">
        <f t="shared" si="6"/>
        <v>1.107467673080492E-2</v>
      </c>
    </row>
    <row r="8" spans="1:18" s="7" customFormat="1" x14ac:dyDescent="0.3">
      <c r="A8" s="36" t="s">
        <v>20</v>
      </c>
      <c r="B8" s="63">
        <f>'[3]GQ &amp; HH projection POP '!N60</f>
        <v>29452</v>
      </c>
      <c r="C8" s="63">
        <f>'[3]GQ &amp; HH projection POP '!O60</f>
        <v>30928</v>
      </c>
      <c r="D8" s="63">
        <f>'[3]GQ &amp; HH projection POP '!P60</f>
        <v>32195</v>
      </c>
      <c r="E8" s="63">
        <f>'[3]GQ &amp; HH projection POP '!Q60</f>
        <v>33814</v>
      </c>
      <c r="F8" s="63">
        <f>'[3]GQ &amp; HH projection POP '!R60</f>
        <v>35031</v>
      </c>
      <c r="G8" s="63">
        <f>'[3]GQ &amp; HH projection POP '!S60</f>
        <v>36047</v>
      </c>
      <c r="H8" s="63">
        <f>'[3]GQ &amp; HH projection POP '!T60</f>
        <v>37064</v>
      </c>
      <c r="J8" s="37"/>
      <c r="K8" s="38">
        <f t="shared" si="0"/>
        <v>2.2250376417562476E-2</v>
      </c>
      <c r="L8" s="38">
        <f t="shared" si="1"/>
        <v>2.2249943526236205E-2</v>
      </c>
      <c r="M8" s="38">
        <f t="shared" si="2"/>
        <v>2.2250004492158068E-2</v>
      </c>
      <c r="N8" s="38">
        <f t="shared" si="3"/>
        <v>2.2252069474048581E-2</v>
      </c>
      <c r="O8" s="38">
        <f t="shared" si="4"/>
        <v>2.2252699087049209E-2</v>
      </c>
      <c r="P8" s="38">
        <f t="shared" si="5"/>
        <v>2.2254091883402313E-2</v>
      </c>
      <c r="Q8" s="38">
        <f t="shared" si="6"/>
        <v>2.2254913145554004E-2</v>
      </c>
    </row>
    <row r="9" spans="1:18" s="7" customFormat="1" x14ac:dyDescent="0.3">
      <c r="A9" s="36" t="s">
        <v>45</v>
      </c>
      <c r="B9" s="63">
        <f>'[3]GQ &amp; HH projection POP '!N61</f>
        <v>470</v>
      </c>
      <c r="C9" s="63">
        <f>'[3]GQ &amp; HH projection POP '!O61</f>
        <v>468</v>
      </c>
      <c r="D9" s="63">
        <f>'[3]GQ &amp; HH projection POP '!P61</f>
        <v>465</v>
      </c>
      <c r="E9" s="63">
        <f>'[3]GQ &amp; HH projection POP '!Q61</f>
        <v>463</v>
      </c>
      <c r="F9" s="63">
        <f>'[3]GQ &amp; HH projection POP '!R61</f>
        <v>459</v>
      </c>
      <c r="G9" s="63">
        <f>'[3]GQ &amp; HH projection POP '!S61</f>
        <v>455</v>
      </c>
      <c r="H9" s="63">
        <f>'[3]GQ &amp; HH projection POP '!T61</f>
        <v>451</v>
      </c>
      <c r="J9" s="37"/>
      <c r="K9" s="38">
        <f t="shared" si="0"/>
        <v>1.6759975751524443E-2</v>
      </c>
      <c r="L9" s="38">
        <f t="shared" si="1"/>
        <v>1.6748380632000851E-2</v>
      </c>
      <c r="M9" s="38">
        <f t="shared" si="2"/>
        <v>1.6768237712307527E-2</v>
      </c>
      <c r="N9" s="38">
        <f t="shared" si="3"/>
        <v>1.677900992969486E-2</v>
      </c>
      <c r="O9" s="38">
        <f t="shared" si="4"/>
        <v>1.6756717289719624E-2</v>
      </c>
      <c r="P9" s="38">
        <f t="shared" si="5"/>
        <v>1.6755044925614967E-2</v>
      </c>
      <c r="Q9" s="38">
        <f t="shared" si="6"/>
        <v>1.6751476432789812E-2</v>
      </c>
    </row>
    <row r="10" spans="1:18" s="7" customFormat="1" x14ac:dyDescent="0.3">
      <c r="A10" s="36" t="s">
        <v>46</v>
      </c>
      <c r="B10" s="63">
        <f>'[3]GQ &amp; HH projection POP '!N62</f>
        <v>3768</v>
      </c>
      <c r="C10" s="63">
        <f>'[3]GQ &amp; HH projection POP '!O62</f>
        <v>3855</v>
      </c>
      <c r="D10" s="63">
        <f>'[3]GQ &amp; HH projection POP '!P62</f>
        <v>3926</v>
      </c>
      <c r="E10" s="63">
        <f>'[3]GQ &amp; HH projection POP '!Q62</f>
        <v>4026</v>
      </c>
      <c r="F10" s="63">
        <f>'[3]GQ &amp; HH projection POP '!R62</f>
        <v>4093</v>
      </c>
      <c r="G10" s="63">
        <f>'[3]GQ &amp; HH projection POP '!S62</f>
        <v>4143</v>
      </c>
      <c r="H10" s="63">
        <f>'[3]GQ &amp; HH projection POP '!T62</f>
        <v>4193</v>
      </c>
      <c r="J10" s="37"/>
      <c r="K10" s="38">
        <f t="shared" si="0"/>
        <v>6.0016246436137163E-2</v>
      </c>
      <c r="L10" s="38">
        <f t="shared" si="1"/>
        <v>5.9968265820421862E-2</v>
      </c>
      <c r="M10" s="38">
        <f t="shared" si="2"/>
        <v>5.9936186128879604E-2</v>
      </c>
      <c r="N10" s="38">
        <f t="shared" si="3"/>
        <v>5.9910714285714282E-2</v>
      </c>
      <c r="O10" s="38">
        <f t="shared" si="4"/>
        <v>5.9920652348953975E-2</v>
      </c>
      <c r="P10" s="38">
        <f t="shared" si="5"/>
        <v>5.9939236111111086E-2</v>
      </c>
      <c r="Q10" s="38">
        <f t="shared" si="6"/>
        <v>5.9953958562706439E-2</v>
      </c>
    </row>
    <row r="11" spans="1:18" s="7" customFormat="1" x14ac:dyDescent="0.3">
      <c r="A11" s="36" t="s">
        <v>21</v>
      </c>
      <c r="B11" s="63">
        <f>'[3]GQ &amp; HH projection POP '!N63</f>
        <v>4027</v>
      </c>
      <c r="C11" s="63">
        <f>'[3]GQ &amp; HH projection POP '!O63</f>
        <v>4307</v>
      </c>
      <c r="D11" s="63">
        <f>'[3]GQ &amp; HH projection POP '!P63</f>
        <v>4528</v>
      </c>
      <c r="E11" s="63">
        <f>'[3]GQ &amp; HH projection POP '!Q63</f>
        <v>4895</v>
      </c>
      <c r="F11" s="63">
        <f>'[3]GQ &amp; HH projection POP '!R63</f>
        <v>5095</v>
      </c>
      <c r="G11" s="63">
        <f>'[3]GQ &amp; HH projection POP '!S63</f>
        <v>5212</v>
      </c>
      <c r="H11" s="63">
        <f>'[3]GQ &amp; HH projection POP '!T63</f>
        <v>5329</v>
      </c>
      <c r="J11" s="37"/>
      <c r="K11" s="38">
        <f t="shared" si="0"/>
        <v>2.2561108839002086E-2</v>
      </c>
      <c r="L11" s="38">
        <f t="shared" si="1"/>
        <v>2.2561314182145811E-2</v>
      </c>
      <c r="M11" s="38">
        <f t="shared" si="2"/>
        <v>2.2560249517954038E-2</v>
      </c>
      <c r="N11" s="38">
        <f t="shared" si="3"/>
        <v>2.2561970519639742E-2</v>
      </c>
      <c r="O11" s="38">
        <f t="shared" si="4"/>
        <v>2.2562217695509697E-2</v>
      </c>
      <c r="P11" s="38">
        <f t="shared" si="5"/>
        <v>2.2565114990302025E-2</v>
      </c>
      <c r="Q11" s="38">
        <f t="shared" si="6"/>
        <v>2.2567025632990463E-2</v>
      </c>
    </row>
    <row r="12" spans="1:18" s="7" customFormat="1" x14ac:dyDescent="0.3">
      <c r="A12" s="36" t="s">
        <v>47</v>
      </c>
      <c r="B12" s="63">
        <f>'[3]GQ &amp; HH projection POP '!N64</f>
        <v>490</v>
      </c>
      <c r="C12" s="63">
        <f>'[3]GQ &amp; HH projection POP '!O64</f>
        <v>489</v>
      </c>
      <c r="D12" s="63">
        <f>'[3]GQ &amp; HH projection POP '!P64</f>
        <v>493</v>
      </c>
      <c r="E12" s="63">
        <f>'[3]GQ &amp; HH projection POP '!Q64</f>
        <v>496</v>
      </c>
      <c r="F12" s="63">
        <f>'[3]GQ &amp; HH projection POP '!R64</f>
        <v>500</v>
      </c>
      <c r="G12" s="63">
        <f>'[3]GQ &amp; HH projection POP '!S64</f>
        <v>503</v>
      </c>
      <c r="H12" s="63">
        <f>'[3]GQ &amp; HH projection POP '!T64</f>
        <v>505</v>
      </c>
      <c r="J12" s="37"/>
      <c r="K12" s="38">
        <f t="shared" si="0"/>
        <v>1.0620773365701403E-2</v>
      </c>
      <c r="L12" s="38">
        <f t="shared" si="1"/>
        <v>1.0618892508143324E-2</v>
      </c>
      <c r="M12" s="38">
        <f t="shared" si="2"/>
        <v>1.0638986598761302E-2</v>
      </c>
      <c r="N12" s="38">
        <f t="shared" si="3"/>
        <v>1.0623714873200824E-2</v>
      </c>
      <c r="O12" s="38">
        <f t="shared" si="4"/>
        <v>1.0641920653839603E-2</v>
      </c>
      <c r="P12" s="38">
        <f t="shared" si="5"/>
        <v>1.0642124193377761E-2</v>
      </c>
      <c r="Q12" s="38">
        <f t="shared" si="6"/>
        <v>1.0621069678423453E-2</v>
      </c>
    </row>
    <row r="13" spans="1:18" s="7" customFormat="1" x14ac:dyDescent="0.3">
      <c r="A13" s="36" t="s">
        <v>22</v>
      </c>
      <c r="B13" s="63">
        <f>'[3]GQ &amp; HH projection POP '!N65</f>
        <v>5229</v>
      </c>
      <c r="C13" s="63">
        <f>'[3]GQ &amp; HH projection POP '!O65</f>
        <v>5547</v>
      </c>
      <c r="D13" s="63">
        <f>'[3]GQ &amp; HH projection POP '!P65</f>
        <v>5827</v>
      </c>
      <c r="E13" s="63">
        <f>'[3]GQ &amp; HH projection POP '!Q65</f>
        <v>6135</v>
      </c>
      <c r="F13" s="63">
        <f>'[3]GQ &amp; HH projection POP '!R65</f>
        <v>6411</v>
      </c>
      <c r="G13" s="63">
        <f>'[3]GQ &amp; HH projection POP '!S65</f>
        <v>6671</v>
      </c>
      <c r="H13" s="63">
        <f>'[3]GQ &amp; HH projection POP '!T65</f>
        <v>6931</v>
      </c>
      <c r="J13" s="37"/>
      <c r="K13" s="38">
        <f t="shared" si="0"/>
        <v>0.11926919392363483</v>
      </c>
      <c r="L13" s="38">
        <f t="shared" si="1"/>
        <v>0.11912636371445756</v>
      </c>
      <c r="M13" s="38">
        <f t="shared" si="2"/>
        <v>0.11897178324962226</v>
      </c>
      <c r="N13" s="38">
        <f t="shared" si="3"/>
        <v>0.1189045662454454</v>
      </c>
      <c r="O13" s="38">
        <f t="shared" si="4"/>
        <v>0.11896234992855953</v>
      </c>
      <c r="P13" s="38">
        <f t="shared" si="5"/>
        <v>0.1190187332738626</v>
      </c>
      <c r="Q13" s="38">
        <f t="shared" si="6"/>
        <v>0.11904639219525601</v>
      </c>
    </row>
    <row r="14" spans="1:18" s="7" customFormat="1" x14ac:dyDescent="0.3">
      <c r="A14" s="36" t="s">
        <v>48</v>
      </c>
      <c r="B14" s="63">
        <f>'[3]GQ &amp; HH projection POP '!N66</f>
        <v>5667</v>
      </c>
      <c r="C14" s="63">
        <f>'[3]GQ &amp; HH projection POP '!O66</f>
        <v>5663</v>
      </c>
      <c r="D14" s="63">
        <f>'[3]GQ &amp; HH projection POP '!P66</f>
        <v>5650</v>
      </c>
      <c r="E14" s="63">
        <f>'[3]GQ &amp; HH projection POP '!Q66</f>
        <v>5658</v>
      </c>
      <c r="F14" s="63">
        <f>'[3]GQ &amp; HH projection POP '!R66</f>
        <v>5641</v>
      </c>
      <c r="G14" s="63">
        <f>'[3]GQ &amp; HH projection POP '!S66</f>
        <v>5613</v>
      </c>
      <c r="H14" s="63">
        <f>'[3]GQ &amp; HH projection POP '!T66</f>
        <v>5585</v>
      </c>
      <c r="J14" s="37"/>
      <c r="K14" s="38">
        <f t="shared" si="0"/>
        <v>8.6646076692557014E-2</v>
      </c>
      <c r="L14" s="38">
        <f t="shared" si="1"/>
        <v>8.6534641361816586E-2</v>
      </c>
      <c r="M14" s="38">
        <f t="shared" si="2"/>
        <v>8.6499892831991207E-2</v>
      </c>
      <c r="N14" s="38">
        <f t="shared" si="3"/>
        <v>8.6587904015670944E-2</v>
      </c>
      <c r="O14" s="38">
        <f t="shared" si="4"/>
        <v>8.6664618220924861E-2</v>
      </c>
      <c r="P14" s="38">
        <f t="shared" si="5"/>
        <v>8.6699309556540677E-2</v>
      </c>
      <c r="Q14" s="38">
        <f t="shared" si="6"/>
        <v>8.6700715649595583E-2</v>
      </c>
    </row>
    <row r="15" spans="1:18" s="7" customFormat="1" x14ac:dyDescent="0.3">
      <c r="A15" s="36" t="s">
        <v>49</v>
      </c>
      <c r="B15" s="63">
        <f>'[3]GQ &amp; HH projection POP '!N67</f>
        <v>275</v>
      </c>
      <c r="C15" s="63">
        <f>'[3]GQ &amp; HH projection POP '!O67</f>
        <v>286</v>
      </c>
      <c r="D15" s="63">
        <f>'[3]GQ &amp; HH projection POP '!P67</f>
        <v>296</v>
      </c>
      <c r="E15" s="63">
        <f>'[3]GQ &amp; HH projection POP '!Q67</f>
        <v>309</v>
      </c>
      <c r="F15" s="63">
        <f>'[3]GQ &amp; HH projection POP '!R67</f>
        <v>319</v>
      </c>
      <c r="G15" s="63">
        <f>'[3]GQ &amp; HH projection POP '!S67</f>
        <v>326</v>
      </c>
      <c r="H15" s="63">
        <f>'[3]GQ &amp; HH projection POP '!T67</f>
        <v>333</v>
      </c>
      <c r="J15" s="37"/>
      <c r="K15" s="38">
        <f t="shared" si="0"/>
        <v>7.870184877797495E-3</v>
      </c>
      <c r="L15" s="38">
        <f t="shared" si="1"/>
        <v>7.8588700813365577E-3</v>
      </c>
      <c r="M15" s="38">
        <f t="shared" si="2"/>
        <v>7.8689919183326223E-3</v>
      </c>
      <c r="N15" s="38">
        <f t="shared" si="3"/>
        <v>7.8669993380518378E-3</v>
      </c>
      <c r="O15" s="38">
        <f t="shared" si="4"/>
        <v>7.8856945096778958E-3</v>
      </c>
      <c r="P15" s="38">
        <f t="shared" si="5"/>
        <v>7.8770598753201571E-3</v>
      </c>
      <c r="Q15" s="38">
        <f t="shared" si="6"/>
        <v>7.8689919183326257E-3</v>
      </c>
    </row>
    <row r="16" spans="1:18" s="7" customFormat="1" x14ac:dyDescent="0.3">
      <c r="A16" s="36" t="s">
        <v>50</v>
      </c>
      <c r="B16" s="63">
        <f>'[3]GQ &amp; HH projection POP '!N68</f>
        <v>338</v>
      </c>
      <c r="C16" s="63">
        <f>'[3]GQ &amp; HH projection POP '!O68</f>
        <v>352</v>
      </c>
      <c r="D16" s="63">
        <f>'[3]GQ &amp; HH projection POP '!P68</f>
        <v>358</v>
      </c>
      <c r="E16" s="63">
        <f>'[3]GQ &amp; HH projection POP '!Q68</f>
        <v>365</v>
      </c>
      <c r="F16" s="63">
        <f>'[3]GQ &amp; HH projection POP '!R68</f>
        <v>370</v>
      </c>
      <c r="G16" s="63">
        <f>'[3]GQ &amp; HH projection POP '!S68</f>
        <v>374</v>
      </c>
      <c r="H16" s="63">
        <f>'[3]GQ &amp; HH projection POP '!T68</f>
        <v>378</v>
      </c>
      <c r="J16" s="37"/>
      <c r="K16" s="38">
        <f t="shared" si="0"/>
        <v>9.5482923246419382E-3</v>
      </c>
      <c r="L16" s="38">
        <f t="shared" si="1"/>
        <v>9.5579450418160107E-3</v>
      </c>
      <c r="M16" s="38">
        <f t="shared" si="2"/>
        <v>9.580646024567133E-3</v>
      </c>
      <c r="N16" s="38">
        <f t="shared" si="3"/>
        <v>9.586846321540202E-3</v>
      </c>
      <c r="O16" s="38">
        <f t="shared" si="4"/>
        <v>9.5842507447221892E-3</v>
      </c>
      <c r="P16" s="38">
        <f t="shared" si="5"/>
        <v>9.5779553370211046E-3</v>
      </c>
      <c r="Q16" s="38">
        <f t="shared" si="6"/>
        <v>9.5715587967183206E-3</v>
      </c>
    </row>
    <row r="17" spans="1:18" s="7" customFormat="1" x14ac:dyDescent="0.3">
      <c r="A17" s="36" t="s">
        <v>23</v>
      </c>
      <c r="B17" s="63">
        <f>'[3]GQ &amp; HH projection POP '!N69</f>
        <v>4631</v>
      </c>
      <c r="C17" s="63">
        <f>'[3]GQ &amp; HH projection POP '!O69</f>
        <v>4932</v>
      </c>
      <c r="D17" s="63">
        <f>'[3]GQ &amp; HH projection POP '!P69</f>
        <v>5212</v>
      </c>
      <c r="E17" s="63">
        <f>'[3]GQ &amp; HH projection POP '!Q69</f>
        <v>5515</v>
      </c>
      <c r="F17" s="63">
        <f>'[3]GQ &amp; HH projection POP '!R69</f>
        <v>5791</v>
      </c>
      <c r="G17" s="63">
        <f>'[3]GQ &amp; HH projection POP '!S69</f>
        <v>6055</v>
      </c>
      <c r="H17" s="63">
        <f>'[3]GQ &amp; HH projection POP '!T69</f>
        <v>6318</v>
      </c>
      <c r="J17" s="37"/>
      <c r="K17" s="38">
        <f t="shared" si="0"/>
        <v>7.9104248159472548E-2</v>
      </c>
      <c r="L17" s="38">
        <f t="shared" si="1"/>
        <v>7.9070140280561127E-2</v>
      </c>
      <c r="M17" s="38">
        <f t="shared" si="2"/>
        <v>7.905354163506749E-2</v>
      </c>
      <c r="N17" s="38">
        <f t="shared" si="3"/>
        <v>7.9055632803428838E-2</v>
      </c>
      <c r="O17" s="38">
        <f t="shared" si="4"/>
        <v>7.907529289674195E-2</v>
      </c>
      <c r="P17" s="38">
        <f t="shared" si="5"/>
        <v>7.9088296760710552E-2</v>
      </c>
      <c r="Q17" s="38">
        <f t="shared" si="6"/>
        <v>7.9087699972460762E-2</v>
      </c>
    </row>
    <row r="18" spans="1:18" s="7" customFormat="1" x14ac:dyDescent="0.3">
      <c r="A18" s="36" t="s">
        <v>51</v>
      </c>
      <c r="B18" s="63">
        <f>'[3]GQ &amp; HH projection POP '!N70</f>
        <v>5866</v>
      </c>
      <c r="C18" s="63">
        <f>'[3]GQ &amp; HH projection POP '!O70</f>
        <v>5828</v>
      </c>
      <c r="D18" s="63">
        <f>'[3]GQ &amp; HH projection POP '!P70</f>
        <v>5799</v>
      </c>
      <c r="E18" s="63">
        <f>'[3]GQ &amp; HH projection POP '!Q70</f>
        <v>5774</v>
      </c>
      <c r="F18" s="63">
        <f>'[3]GQ &amp; HH projection POP '!R70</f>
        <v>5743</v>
      </c>
      <c r="G18" s="63">
        <f>'[3]GQ &amp; HH projection POP '!S70</f>
        <v>5710</v>
      </c>
      <c r="H18" s="63">
        <f>'[3]GQ &amp; HH projection POP '!T70</f>
        <v>5677</v>
      </c>
      <c r="J18" s="39"/>
      <c r="K18" s="38">
        <f t="shared" si="0"/>
        <v>7.6057360682519518E-2</v>
      </c>
      <c r="L18" s="38">
        <f t="shared" si="1"/>
        <v>7.5970487785801816E-2</v>
      </c>
      <c r="M18" s="38">
        <f t="shared" si="2"/>
        <v>7.5930969465249062E-2</v>
      </c>
      <c r="N18" s="38">
        <f t="shared" si="3"/>
        <v>7.5917744819606628E-2</v>
      </c>
      <c r="O18" s="38">
        <f t="shared" si="4"/>
        <v>7.5948530092439501E-2</v>
      </c>
      <c r="P18" s="38">
        <f t="shared" si="5"/>
        <v>7.5966207676445158E-2</v>
      </c>
      <c r="Q18" s="38">
        <f t="shared" si="6"/>
        <v>7.5987150314549598E-2</v>
      </c>
    </row>
    <row r="19" spans="1:18" s="7" customFormat="1" x14ac:dyDescent="0.3">
      <c r="A19" s="36" t="s">
        <v>24</v>
      </c>
      <c r="B19" s="63">
        <f>'[3]GQ &amp; HH projection POP '!N71</f>
        <v>3536</v>
      </c>
      <c r="C19" s="63">
        <f>'[3]GQ &amp; HH projection POP '!O71</f>
        <v>3740</v>
      </c>
      <c r="D19" s="63">
        <f>'[3]GQ &amp; HH projection POP '!P71</f>
        <v>4083</v>
      </c>
      <c r="E19" s="63">
        <f>'[3]GQ &amp; HH projection POP '!Q71</f>
        <v>4445</v>
      </c>
      <c r="F19" s="63">
        <f>'[3]GQ &amp; HH projection POP '!R71</f>
        <v>4786</v>
      </c>
      <c r="G19" s="63">
        <f>'[3]GQ &amp; HH projection POP '!S71</f>
        <v>5116</v>
      </c>
      <c r="H19" s="63">
        <f>'[3]GQ &amp; HH projection POP '!T71</f>
        <v>5446</v>
      </c>
      <c r="J19" s="39"/>
      <c r="K19" s="38">
        <f t="shared" si="0"/>
        <v>5.6383843860124697E-2</v>
      </c>
      <c r="L19" s="38">
        <f t="shared" si="1"/>
        <v>5.6340574252056283E-2</v>
      </c>
      <c r="M19" s="38">
        <f t="shared" si="2"/>
        <v>5.6279980151072391E-2</v>
      </c>
      <c r="N19" s="38">
        <f t="shared" si="3"/>
        <v>5.6249446363716926E-2</v>
      </c>
      <c r="O19" s="38">
        <f t="shared" si="4"/>
        <v>5.6253599595669924E-2</v>
      </c>
      <c r="P19" s="38">
        <f t="shared" si="5"/>
        <v>5.6285962615382913E-2</v>
      </c>
      <c r="Q19" s="38">
        <f t="shared" si="6"/>
        <v>5.6315016648398261E-2</v>
      </c>
    </row>
    <row r="20" spans="1:18" s="43" customFormat="1" x14ac:dyDescent="0.3">
      <c r="A20" s="40" t="s">
        <v>86</v>
      </c>
      <c r="B20" s="41">
        <f t="shared" ref="B20:H20" si="7">SUM(B5:B19)</f>
        <v>69903</v>
      </c>
      <c r="C20" s="41">
        <f t="shared" si="7"/>
        <v>73176</v>
      </c>
      <c r="D20" s="41">
        <f t="shared" si="7"/>
        <v>76188</v>
      </c>
      <c r="E20" s="41">
        <f t="shared" si="7"/>
        <v>79887</v>
      </c>
      <c r="F20" s="41">
        <f t="shared" si="7"/>
        <v>82800</v>
      </c>
      <c r="G20" s="41">
        <f t="shared" si="7"/>
        <v>85321</v>
      </c>
      <c r="H20" s="41">
        <f t="shared" si="7"/>
        <v>87840</v>
      </c>
      <c r="J20" s="54"/>
      <c r="K20" s="42">
        <f t="shared" si="0"/>
        <v>2.8897932253586455E-2</v>
      </c>
      <c r="L20" s="42">
        <f t="shared" si="1"/>
        <v>2.8636625655639653E-2</v>
      </c>
      <c r="M20" s="42">
        <f t="shared" si="2"/>
        <v>2.8459334282874303E-2</v>
      </c>
      <c r="N20" s="42">
        <f t="shared" si="3"/>
        <v>2.825619915974531E-2</v>
      </c>
      <c r="O20" s="42">
        <f t="shared" si="4"/>
        <v>2.81197180013401E-2</v>
      </c>
      <c r="P20" s="42">
        <f t="shared" si="5"/>
        <v>2.8015910959569824E-2</v>
      </c>
      <c r="Q20" s="42">
        <f t="shared" si="6"/>
        <v>2.7917043412210209E-2</v>
      </c>
    </row>
    <row r="22" spans="1:18" s="9" customFormat="1" ht="26.25" customHeight="1" x14ac:dyDescent="0.3">
      <c r="A22" s="90" t="s">
        <v>66</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93" t="s">
        <v>62</v>
      </c>
      <c r="K23" s="93"/>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f>'[3]GQ &amp; HH projection POP '!W57</f>
        <v>211317.00000000003</v>
      </c>
      <c r="C25" s="63">
        <f>'[3]GQ &amp; HH projection POP '!X57</f>
        <v>243759.00000000003</v>
      </c>
      <c r="D25" s="63">
        <f>'[3]GQ &amp; HH projection POP '!Y57</f>
        <v>273829</v>
      </c>
      <c r="E25" s="63">
        <f>'[3]GQ &amp; HH projection POP '!Z57</f>
        <v>306777.99999999994</v>
      </c>
      <c r="F25" s="63">
        <f>'[3]GQ &amp; HH projection POP '!AA57</f>
        <v>336449.99999999988</v>
      </c>
      <c r="G25" s="63">
        <f>'[3]GQ &amp; HH projection POP '!AB57</f>
        <v>364470</v>
      </c>
      <c r="H25" s="63">
        <f>'[3]GQ &amp; HH projection POP '!AC57</f>
        <v>392486.00000000017</v>
      </c>
      <c r="J25" s="52">
        <v>335024.15863690129</v>
      </c>
      <c r="K25" s="38">
        <f t="shared" ref="K25:K40" si="8">B25/(B25+B5)</f>
        <v>0.98720428299136675</v>
      </c>
      <c r="L25" s="38">
        <f t="shared" ref="L25:L40" si="9">C25/(C25+C5)</f>
        <v>0.987202280909934</v>
      </c>
      <c r="M25" s="38">
        <f t="shared" ref="M25:M40" si="10">D25/(D25+D5)</f>
        <v>0.9872051857032641</v>
      </c>
      <c r="N25" s="38">
        <f t="shared" ref="N25:N40" si="11">E25/(E25+E5)</f>
        <v>0.98720531352774221</v>
      </c>
      <c r="O25" s="38">
        <f t="shared" ref="O25:O40" si="12">F25/(F25+F5)</f>
        <v>0.98720405151242185</v>
      </c>
      <c r="P25" s="38">
        <f t="shared" ref="P25:P40" si="13">G25/(G25+G5)</f>
        <v>0.98720455912067906</v>
      </c>
      <c r="Q25" s="38">
        <f t="shared" ref="Q25:Q40" si="14">H25/(H25+H5)</f>
        <v>0.98720486552155207</v>
      </c>
    </row>
    <row r="26" spans="1:18" s="7" customFormat="1" x14ac:dyDescent="0.3">
      <c r="A26" s="36" t="s">
        <v>19</v>
      </c>
      <c r="B26" s="63">
        <f>'[3]GQ &amp; HH projection POP '!W58</f>
        <v>155787</v>
      </c>
      <c r="C26" s="63">
        <f>'[3]GQ &amp; HH projection POP '!X58</f>
        <v>165824.00000000003</v>
      </c>
      <c r="D26" s="63">
        <f>'[3]GQ &amp; HH projection POP '!Y58</f>
        <v>174891.99999999994</v>
      </c>
      <c r="E26" s="63">
        <f>'[3]GQ &amp; HH projection POP '!Z58</f>
        <v>185064</v>
      </c>
      <c r="F26" s="63">
        <f>'[3]GQ &amp; HH projection POP '!AA58</f>
        <v>194007</v>
      </c>
      <c r="G26" s="63">
        <f>'[3]GQ &amp; HH projection POP '!AB58</f>
        <v>202333</v>
      </c>
      <c r="H26" s="63">
        <f>'[3]GQ &amp; HH projection POP '!AC58</f>
        <v>210652.99999999994</v>
      </c>
      <c r="J26" s="52">
        <v>215587.20684493385</v>
      </c>
      <c r="K26" s="38">
        <f t="shared" si="8"/>
        <v>0.98052013443939523</v>
      </c>
      <c r="L26" s="38">
        <f t="shared" si="9"/>
        <v>0.9805166776057096</v>
      </c>
      <c r="M26" s="38">
        <f t="shared" si="10"/>
        <v>0.98051769665913535</v>
      </c>
      <c r="N26" s="38">
        <f t="shared" si="11"/>
        <v>0.9805182763681447</v>
      </c>
      <c r="O26" s="38">
        <f t="shared" si="12"/>
        <v>0.98051672377717802</v>
      </c>
      <c r="P26" s="38">
        <f t="shared" si="13"/>
        <v>0.98051881969246868</v>
      </c>
      <c r="Q26" s="38">
        <f t="shared" si="14"/>
        <v>0.98052020592260214</v>
      </c>
    </row>
    <row r="27" spans="1:18" s="7" customFormat="1" x14ac:dyDescent="0.3">
      <c r="A27" s="36" t="s">
        <v>44</v>
      </c>
      <c r="B27" s="63">
        <f>'[3]GQ &amp; HH projection POP '!W59</f>
        <v>28616.999999999996</v>
      </c>
      <c r="C27" s="63">
        <f>'[3]GQ &amp; HH projection POP '!X59</f>
        <v>29063.000000000004</v>
      </c>
      <c r="D27" s="63">
        <f>'[3]GQ &amp; HH projection POP '!Y59</f>
        <v>29631.000000000004</v>
      </c>
      <c r="E27" s="63">
        <f>'[3]GQ &amp; HH projection POP '!Z59</f>
        <v>30244.000000000007</v>
      </c>
      <c r="F27" s="63">
        <f>'[3]GQ &amp; HH projection POP '!AA59</f>
        <v>30827</v>
      </c>
      <c r="G27" s="63">
        <f>'[3]GQ &amp; HH projection POP '!AB59</f>
        <v>31396.999999999996</v>
      </c>
      <c r="H27" s="63">
        <f>'[3]GQ &amp; HH projection POP '!AC59</f>
        <v>31968.000000000011</v>
      </c>
      <c r="J27" s="52">
        <v>31149.92038674096</v>
      </c>
      <c r="K27" s="38">
        <f t="shared" si="8"/>
        <v>0.9889414935895221</v>
      </c>
      <c r="L27" s="38">
        <f t="shared" si="9"/>
        <v>0.98890741433869811</v>
      </c>
      <c r="M27" s="38">
        <f t="shared" si="10"/>
        <v>0.9889196675900277</v>
      </c>
      <c r="N27" s="38">
        <f t="shared" si="11"/>
        <v>0.98891541052218557</v>
      </c>
      <c r="O27" s="38">
        <f t="shared" si="12"/>
        <v>0.98893237520852051</v>
      </c>
      <c r="P27" s="38">
        <f t="shared" si="13"/>
        <v>0.98891303663107499</v>
      </c>
      <c r="Q27" s="38">
        <f t="shared" si="14"/>
        <v>0.98892532326919513</v>
      </c>
    </row>
    <row r="28" spans="1:18" s="7" customFormat="1" x14ac:dyDescent="0.3">
      <c r="A28" s="36" t="s">
        <v>20</v>
      </c>
      <c r="B28" s="63">
        <f>'[3]GQ &amp; HH projection POP '!W60</f>
        <v>1294211</v>
      </c>
      <c r="C28" s="63">
        <f>'[3]GQ &amp; HH projection POP '!X60</f>
        <v>1359097.9999999998</v>
      </c>
      <c r="D28" s="63">
        <f>'[3]GQ &amp; HH projection POP '!Y60</f>
        <v>1414771.0000000005</v>
      </c>
      <c r="E28" s="63">
        <f>'[3]GQ &amp; HH projection POP '!Z60</f>
        <v>1485774.9999999995</v>
      </c>
      <c r="F28" s="63">
        <f>'[3]GQ &amp; HH projection POP '!AA60</f>
        <v>1539205</v>
      </c>
      <c r="G28" s="63">
        <f>'[3]GQ &amp; HH projection POP '!AB60</f>
        <v>1583745</v>
      </c>
      <c r="H28" s="63">
        <f>'[3]GQ &amp; HH projection POP '!AC60</f>
        <v>1628365.9999999998</v>
      </c>
      <c r="J28" s="52">
        <v>1647056.4981361437</v>
      </c>
      <c r="K28" s="38">
        <f t="shared" si="8"/>
        <v>0.97774962358243755</v>
      </c>
      <c r="L28" s="38">
        <f t="shared" si="9"/>
        <v>0.97775005647376378</v>
      </c>
      <c r="M28" s="38">
        <f t="shared" si="10"/>
        <v>0.97774999550784192</v>
      </c>
      <c r="N28" s="38">
        <f t="shared" si="11"/>
        <v>0.97774793052595144</v>
      </c>
      <c r="O28" s="38">
        <f t="shared" si="12"/>
        <v>0.97774730091295081</v>
      </c>
      <c r="P28" s="38">
        <f t="shared" si="13"/>
        <v>0.97774590811659767</v>
      </c>
      <c r="Q28" s="38">
        <f t="shared" si="14"/>
        <v>0.97774508685444594</v>
      </c>
    </row>
    <row r="29" spans="1:18" s="7" customFormat="1" x14ac:dyDescent="0.3">
      <c r="A29" s="36" t="s">
        <v>45</v>
      </c>
      <c r="B29" s="63">
        <f>'[3]GQ &amp; HH projection POP '!W61</f>
        <v>27573.000000000004</v>
      </c>
      <c r="C29" s="63">
        <f>'[3]GQ &amp; HH projection POP '!X61</f>
        <v>27475.000000000011</v>
      </c>
      <c r="D29" s="63">
        <f>'[3]GQ &amp; HH projection POP '!Y61</f>
        <v>27266</v>
      </c>
      <c r="E29" s="63">
        <f>'[3]GQ &amp; HH projection POP '!Z61</f>
        <v>27131</v>
      </c>
      <c r="F29" s="63">
        <f>'[3]GQ &amp; HH projection POP '!AA61</f>
        <v>26933.000000000004</v>
      </c>
      <c r="G29" s="63">
        <f>'[3]GQ &amp; HH projection POP '!AB61</f>
        <v>26700.999999999996</v>
      </c>
      <c r="H29" s="63">
        <f>'[3]GQ &amp; HH projection POP '!AC61</f>
        <v>26471.999999999993</v>
      </c>
      <c r="J29" s="52">
        <v>22835.650610084431</v>
      </c>
      <c r="K29" s="38">
        <f t="shared" si="8"/>
        <v>0.98324002424847556</v>
      </c>
      <c r="L29" s="38">
        <f t="shared" si="9"/>
        <v>0.9832516193679991</v>
      </c>
      <c r="M29" s="38">
        <f t="shared" si="10"/>
        <v>0.98323176228769249</v>
      </c>
      <c r="N29" s="38">
        <f t="shared" si="11"/>
        <v>0.98322099007030517</v>
      </c>
      <c r="O29" s="38">
        <f t="shared" si="12"/>
        <v>0.98324328271028039</v>
      </c>
      <c r="P29" s="38">
        <f t="shared" si="13"/>
        <v>0.98324495507438503</v>
      </c>
      <c r="Q29" s="38">
        <f t="shared" si="14"/>
        <v>0.98324852356721015</v>
      </c>
    </row>
    <row r="30" spans="1:18" s="7" customFormat="1" x14ac:dyDescent="0.3">
      <c r="A30" s="36" t="s">
        <v>46</v>
      </c>
      <c r="B30" s="63">
        <f>'[3]GQ &amp; HH projection POP '!W62</f>
        <v>59015.000000000007</v>
      </c>
      <c r="C30" s="63">
        <f>'[3]GQ &amp; HH projection POP '!X62</f>
        <v>60429.000000000015</v>
      </c>
      <c r="D30" s="63">
        <f>'[3]GQ &amp; HH projection POP '!Y62</f>
        <v>61576.999999999985</v>
      </c>
      <c r="E30" s="63">
        <f>'[3]GQ &amp; HH projection POP '!Z62</f>
        <v>63174</v>
      </c>
      <c r="F30" s="63">
        <f>'[3]GQ &amp; HH projection POP '!AA62</f>
        <v>64214.000000000015</v>
      </c>
      <c r="G30" s="63">
        <f>'[3]GQ &amp; HH projection POP '!AB62</f>
        <v>64977.000000000029</v>
      </c>
      <c r="H30" s="63">
        <f>'[3]GQ &amp; HH projection POP '!AC62</f>
        <v>65744</v>
      </c>
      <c r="J30" s="52">
        <v>73588.472672209042</v>
      </c>
      <c r="K30" s="38">
        <f t="shared" si="8"/>
        <v>0.93998375356386288</v>
      </c>
      <c r="L30" s="38">
        <f t="shared" si="9"/>
        <v>0.94003173417957808</v>
      </c>
      <c r="M30" s="38">
        <f t="shared" si="10"/>
        <v>0.94006381387112037</v>
      </c>
      <c r="N30" s="38">
        <f t="shared" si="11"/>
        <v>0.94008928571428574</v>
      </c>
      <c r="O30" s="38">
        <f t="shared" si="12"/>
        <v>0.94007934765104606</v>
      </c>
      <c r="P30" s="38">
        <f t="shared" si="13"/>
        <v>0.94006076388888893</v>
      </c>
      <c r="Q30" s="38">
        <f t="shared" si="14"/>
        <v>0.94004604143729353</v>
      </c>
    </row>
    <row r="31" spans="1:18" s="7" customFormat="1" x14ac:dyDescent="0.3">
      <c r="A31" s="36" t="s">
        <v>21</v>
      </c>
      <c r="B31" s="63">
        <f>'[3]GQ &amp; HH projection POP '!W63</f>
        <v>174466.00000000003</v>
      </c>
      <c r="C31" s="63">
        <f>'[3]GQ &amp; HH projection POP '!X63</f>
        <v>186595</v>
      </c>
      <c r="D31" s="63">
        <f>'[3]GQ &amp; HH projection POP '!Y63</f>
        <v>196178.99999999994</v>
      </c>
      <c r="E31" s="63">
        <f>'[3]GQ &amp; HH projection POP '!Z63</f>
        <v>212063.00000000006</v>
      </c>
      <c r="F31" s="63">
        <f>'[3]GQ &amp; HH projection POP '!AA63</f>
        <v>220725</v>
      </c>
      <c r="G31" s="63">
        <f>'[3]GQ &amp; HH projection POP '!AB63</f>
        <v>225763.99999999997</v>
      </c>
      <c r="H31" s="63">
        <f>'[3]GQ &amp; HH projection POP '!AC63</f>
        <v>230811.99999999994</v>
      </c>
      <c r="J31" s="52">
        <v>227620.98907544417</v>
      </c>
      <c r="K31" s="38">
        <f t="shared" si="8"/>
        <v>0.97743889116099791</v>
      </c>
      <c r="L31" s="38">
        <f t="shared" si="9"/>
        <v>0.9774386858178542</v>
      </c>
      <c r="M31" s="38">
        <f t="shared" si="10"/>
        <v>0.97743975048204601</v>
      </c>
      <c r="N31" s="38">
        <f t="shared" si="11"/>
        <v>0.97743802948036029</v>
      </c>
      <c r="O31" s="38">
        <f t="shared" si="12"/>
        <v>0.9774377823044903</v>
      </c>
      <c r="P31" s="38">
        <f t="shared" si="13"/>
        <v>0.977434885009698</v>
      </c>
      <c r="Q31" s="38">
        <f t="shared" si="14"/>
        <v>0.97743297436700949</v>
      </c>
    </row>
    <row r="32" spans="1:18" s="7" customFormat="1" x14ac:dyDescent="0.3">
      <c r="A32" s="36" t="s">
        <v>47</v>
      </c>
      <c r="B32" s="63">
        <f>'[3]GQ &amp; HH projection POP '!W64</f>
        <v>45646.000000000007</v>
      </c>
      <c r="C32" s="63">
        <f>'[3]GQ &amp; HH projection POP '!X64</f>
        <v>45560.999999999993</v>
      </c>
      <c r="D32" s="63">
        <f>'[3]GQ &amp; HH projection POP '!Y64</f>
        <v>45846</v>
      </c>
      <c r="E32" s="63">
        <f>'[3]GQ &amp; HH projection POP '!Z64</f>
        <v>46191.999999999993</v>
      </c>
      <c r="F32" s="63">
        <f>'[3]GQ &amp; HH projection POP '!AA64</f>
        <v>46484.000000000007</v>
      </c>
      <c r="G32" s="63">
        <f>'[3]GQ &amp; HH projection POP '!AB64</f>
        <v>46762.000000000015</v>
      </c>
      <c r="H32" s="63">
        <f>'[3]GQ &amp; HH projection POP '!AC64</f>
        <v>47042.000000000007</v>
      </c>
      <c r="J32" s="52">
        <v>50681.027508493498</v>
      </c>
      <c r="K32" s="38">
        <f t="shared" si="8"/>
        <v>0.98937922663429856</v>
      </c>
      <c r="L32" s="38">
        <f t="shared" si="9"/>
        <v>0.9893811074918567</v>
      </c>
      <c r="M32" s="38">
        <f t="shared" si="10"/>
        <v>0.98936101340123872</v>
      </c>
      <c r="N32" s="38">
        <f t="shared" si="11"/>
        <v>0.9893762851267992</v>
      </c>
      <c r="O32" s="38">
        <f t="shared" si="12"/>
        <v>0.98935807934616038</v>
      </c>
      <c r="P32" s="38">
        <f t="shared" si="13"/>
        <v>0.98935787580662227</v>
      </c>
      <c r="Q32" s="38">
        <f t="shared" si="14"/>
        <v>0.98937893032157653</v>
      </c>
    </row>
    <row r="33" spans="1:17" s="7" customFormat="1" x14ac:dyDescent="0.3">
      <c r="A33" s="36" t="s">
        <v>22</v>
      </c>
      <c r="B33" s="63">
        <f>'[3]GQ &amp; HH projection POP '!W65</f>
        <v>38613.000000000015</v>
      </c>
      <c r="C33" s="63">
        <f>'[3]GQ &amp; HH projection POP '!X65</f>
        <v>41016.999999999985</v>
      </c>
      <c r="D33" s="63">
        <f>'[3]GQ &amp; HH projection POP '!Y65</f>
        <v>43151.000000000007</v>
      </c>
      <c r="E33" s="63">
        <f>'[3]GQ &amp; HH projection POP '!Z65</f>
        <v>45460.999999999993</v>
      </c>
      <c r="F33" s="63">
        <f>'[3]GQ &amp; HH projection POP '!AA65</f>
        <v>47479.999999999985</v>
      </c>
      <c r="G33" s="63">
        <f>'[3]GQ &amp; HH projection POP '!AB65</f>
        <v>49379.000000000007</v>
      </c>
      <c r="H33" s="63">
        <f>'[3]GQ &amp; HH projection POP '!AC65</f>
        <v>51290</v>
      </c>
      <c r="J33" s="52">
        <v>46454.032961398858</v>
      </c>
      <c r="K33" s="38">
        <f t="shared" si="8"/>
        <v>0.88073080607636511</v>
      </c>
      <c r="L33" s="38">
        <f t="shared" si="9"/>
        <v>0.88087363628554249</v>
      </c>
      <c r="M33" s="38">
        <f t="shared" si="10"/>
        <v>0.88102821675037779</v>
      </c>
      <c r="N33" s="38">
        <f t="shared" si="11"/>
        <v>0.88109543375455457</v>
      </c>
      <c r="O33" s="38">
        <f t="shared" si="12"/>
        <v>0.88103765007144041</v>
      </c>
      <c r="P33" s="38">
        <f t="shared" si="13"/>
        <v>0.88098126672613741</v>
      </c>
      <c r="Q33" s="38">
        <f t="shared" si="14"/>
        <v>0.88095360780474397</v>
      </c>
    </row>
    <row r="34" spans="1:17" s="7" customFormat="1" x14ac:dyDescent="0.3">
      <c r="A34" s="36" t="s">
        <v>48</v>
      </c>
      <c r="B34" s="63">
        <f>'[3]GQ &amp; HH projection POP '!W66</f>
        <v>59737.000000000015</v>
      </c>
      <c r="C34" s="63">
        <f>'[3]GQ &amp; HH projection POP '!X66</f>
        <v>59778.999999999993</v>
      </c>
      <c r="D34" s="63">
        <f>'[3]GQ &amp; HH projection POP '!Y66</f>
        <v>59667.999999999985</v>
      </c>
      <c r="E34" s="63">
        <f>'[3]GQ &amp; HH projection POP '!Z66</f>
        <v>59685.999999999978</v>
      </c>
      <c r="F34" s="63">
        <f>'[3]GQ &amp; HH projection POP '!AA66</f>
        <v>59449.000000000007</v>
      </c>
      <c r="G34" s="63">
        <f>'[3]GQ &amp; HH projection POP '!AB66</f>
        <v>59128</v>
      </c>
      <c r="H34" s="63">
        <f>'[3]GQ &amp; HH projection POP '!AC66</f>
        <v>58832.000000000015</v>
      </c>
      <c r="J34" s="52">
        <v>52417.469298931137</v>
      </c>
      <c r="K34" s="38">
        <f t="shared" si="8"/>
        <v>0.91335392330744303</v>
      </c>
      <c r="L34" s="38">
        <f t="shared" si="9"/>
        <v>0.91346535863818346</v>
      </c>
      <c r="M34" s="38">
        <f t="shared" si="10"/>
        <v>0.91350010716800878</v>
      </c>
      <c r="N34" s="38">
        <f t="shared" si="11"/>
        <v>0.91341209598432904</v>
      </c>
      <c r="O34" s="38">
        <f t="shared" si="12"/>
        <v>0.91333538177907514</v>
      </c>
      <c r="P34" s="38">
        <f t="shared" si="13"/>
        <v>0.9133006904434593</v>
      </c>
      <c r="Q34" s="38">
        <f t="shared" si="14"/>
        <v>0.91329928435040442</v>
      </c>
    </row>
    <row r="35" spans="1:17" s="7" customFormat="1" x14ac:dyDescent="0.3">
      <c r="A35" s="36" t="s">
        <v>49</v>
      </c>
      <c r="B35" s="63">
        <f>'[3]GQ &amp; HH projection POP '!W67</f>
        <v>34666.999999999993</v>
      </c>
      <c r="C35" s="63">
        <f>'[3]GQ &amp; HH projection POP '!X67</f>
        <v>36106</v>
      </c>
      <c r="D35" s="63">
        <f>'[3]GQ &amp; HH projection POP '!Y67</f>
        <v>37320.000000000007</v>
      </c>
      <c r="E35" s="63">
        <f>'[3]GQ &amp; HH projection POP '!Z67</f>
        <v>38968.999999999993</v>
      </c>
      <c r="F35" s="63">
        <f>'[3]GQ &amp; HH projection POP '!AA67</f>
        <v>40134.000000000007</v>
      </c>
      <c r="G35" s="63">
        <f>'[3]GQ &amp; HH projection POP '!AB67</f>
        <v>41059.999999999993</v>
      </c>
      <c r="H35" s="63">
        <f>'[3]GQ &amp; HH projection POP '!AC67</f>
        <v>41984.999999999993</v>
      </c>
      <c r="J35" s="52">
        <v>42771.172565166744</v>
      </c>
      <c r="K35" s="38">
        <f t="shared" si="8"/>
        <v>0.99212981512220255</v>
      </c>
      <c r="L35" s="38">
        <f t="shared" si="9"/>
        <v>0.99214112991866343</v>
      </c>
      <c r="M35" s="38">
        <f t="shared" si="10"/>
        <v>0.99213100808166743</v>
      </c>
      <c r="N35" s="38">
        <f t="shared" si="11"/>
        <v>0.99213300066194821</v>
      </c>
      <c r="O35" s="38">
        <f t="shared" si="12"/>
        <v>0.99211430549032209</v>
      </c>
      <c r="P35" s="38">
        <f t="shared" si="13"/>
        <v>0.99212294012467983</v>
      </c>
      <c r="Q35" s="38">
        <f t="shared" si="14"/>
        <v>0.99213100808166732</v>
      </c>
    </row>
    <row r="36" spans="1:17" s="7" customFormat="1" x14ac:dyDescent="0.3">
      <c r="A36" s="36" t="s">
        <v>50</v>
      </c>
      <c r="B36" s="63">
        <f>'[3]GQ &amp; HH projection POP '!W68</f>
        <v>35061</v>
      </c>
      <c r="C36" s="63">
        <f>'[3]GQ &amp; HH projection POP '!X68</f>
        <v>36475.999999999993</v>
      </c>
      <c r="D36" s="63">
        <f>'[3]GQ &amp; HH projection POP '!Y68</f>
        <v>37008.999999999993</v>
      </c>
      <c r="E36" s="63">
        <f>'[3]GQ &amp; HH projection POP '!Z68</f>
        <v>37707.999999999985</v>
      </c>
      <c r="F36" s="63">
        <f>'[3]GQ &amp; HH projection POP '!AA68</f>
        <v>38234.999999999985</v>
      </c>
      <c r="G36" s="63">
        <f>'[3]GQ &amp; HH projection POP '!AB68</f>
        <v>38673.999999999993</v>
      </c>
      <c r="H36" s="63">
        <f>'[3]GQ &amp; HH projection POP '!AC68</f>
        <v>39114.000000000007</v>
      </c>
      <c r="J36" s="52">
        <v>36375.546298834684</v>
      </c>
      <c r="K36" s="38">
        <f t="shared" si="8"/>
        <v>0.99045170767535806</v>
      </c>
      <c r="L36" s="38">
        <f t="shared" si="9"/>
        <v>0.99044205495818394</v>
      </c>
      <c r="M36" s="38">
        <f t="shared" si="10"/>
        <v>0.9904193539754329</v>
      </c>
      <c r="N36" s="38">
        <f t="shared" si="11"/>
        <v>0.99041315367845983</v>
      </c>
      <c r="O36" s="38">
        <f t="shared" si="12"/>
        <v>0.99041574925527776</v>
      </c>
      <c r="P36" s="38">
        <f t="shared" si="13"/>
        <v>0.9904220446629789</v>
      </c>
      <c r="Q36" s="38">
        <f t="shared" si="14"/>
        <v>0.99042844120328166</v>
      </c>
    </row>
    <row r="37" spans="1:17" s="7" customFormat="1" x14ac:dyDescent="0.3">
      <c r="A37" s="36" t="s">
        <v>23</v>
      </c>
      <c r="B37" s="63">
        <f>'[3]GQ &amp; HH projection POP '!W69</f>
        <v>53911.999999999985</v>
      </c>
      <c r="C37" s="63">
        <f>'[3]GQ &amp; HH projection POP '!X69</f>
        <v>57442.999999999993</v>
      </c>
      <c r="D37" s="63">
        <f>'[3]GQ &amp; HH projection POP '!Y69</f>
        <v>60718.000000000007</v>
      </c>
      <c r="E37" s="63">
        <f>'[3]GQ &amp; HH projection POP '!Z69</f>
        <v>64246.000000000015</v>
      </c>
      <c r="F37" s="63">
        <f>'[3]GQ &amp; HH projection POP '!AA69</f>
        <v>67443</v>
      </c>
      <c r="G37" s="63">
        <f>'[3]GQ &amp; HH projection POP '!AB69</f>
        <v>70505</v>
      </c>
      <c r="H37" s="63">
        <f>'[3]GQ &amp; HH projection POP '!AC69</f>
        <v>73568</v>
      </c>
      <c r="J37" s="52">
        <v>66153.371879283761</v>
      </c>
      <c r="K37" s="38">
        <f t="shared" si="8"/>
        <v>0.92089575184052741</v>
      </c>
      <c r="L37" s="38">
        <f t="shared" si="9"/>
        <v>0.92092985971943886</v>
      </c>
      <c r="M37" s="38">
        <f t="shared" si="10"/>
        <v>0.92094645836493261</v>
      </c>
      <c r="N37" s="38">
        <f t="shared" si="11"/>
        <v>0.92094436719657113</v>
      </c>
      <c r="O37" s="38">
        <f t="shared" si="12"/>
        <v>0.92092470710325802</v>
      </c>
      <c r="P37" s="38">
        <f t="shared" si="13"/>
        <v>0.92091170323928939</v>
      </c>
      <c r="Q37" s="38">
        <f t="shared" si="14"/>
        <v>0.92091230002753921</v>
      </c>
    </row>
    <row r="38" spans="1:17" s="7" customFormat="1" x14ac:dyDescent="0.3">
      <c r="A38" s="36" t="s">
        <v>51</v>
      </c>
      <c r="B38" s="63">
        <f>'[3]GQ &amp; HH projection POP '!W70</f>
        <v>71260</v>
      </c>
      <c r="C38" s="63">
        <f>'[3]GQ &amp; HH projection POP '!X70</f>
        <v>70886</v>
      </c>
      <c r="D38" s="63">
        <f>'[3]GQ &amp; HH projection POP '!Y70</f>
        <v>70572.999999999985</v>
      </c>
      <c r="E38" s="63">
        <f>'[3]GQ &amp; HH projection POP '!Z70</f>
        <v>70281.999999999971</v>
      </c>
      <c r="F38" s="63">
        <f>'[3]GQ &amp; HH projection POP '!AA70</f>
        <v>69874.000000000029</v>
      </c>
      <c r="G38" s="63">
        <f>'[3]GQ &amp; HH projection POP '!AB70</f>
        <v>69455</v>
      </c>
      <c r="H38" s="63">
        <f>'[3]GQ &amp; HH projection POP '!AC70</f>
        <v>69033</v>
      </c>
      <c r="J38" s="52">
        <v>62647.523488839135</v>
      </c>
      <c r="K38" s="38">
        <f t="shared" si="8"/>
        <v>0.92394263931748044</v>
      </c>
      <c r="L38" s="38">
        <f t="shared" si="9"/>
        <v>0.92402951221419816</v>
      </c>
      <c r="M38" s="38">
        <f t="shared" si="10"/>
        <v>0.92406903053475098</v>
      </c>
      <c r="N38" s="38">
        <f t="shared" si="11"/>
        <v>0.92408225518039333</v>
      </c>
      <c r="O38" s="38">
        <f t="shared" si="12"/>
        <v>0.92405146990756049</v>
      </c>
      <c r="P38" s="38">
        <f t="shared" si="13"/>
        <v>0.92403379232355487</v>
      </c>
      <c r="Q38" s="38">
        <f t="shared" si="14"/>
        <v>0.92401284968545039</v>
      </c>
    </row>
    <row r="39" spans="1:17" s="7" customFormat="1" x14ac:dyDescent="0.3">
      <c r="A39" s="36" t="s">
        <v>24</v>
      </c>
      <c r="B39" s="63">
        <f>'[3]GQ &amp; HH projection POP '!W71</f>
        <v>59177</v>
      </c>
      <c r="C39" s="63">
        <f>'[3]GQ &amp; HH projection POP '!X71</f>
        <v>62642</v>
      </c>
      <c r="D39" s="63">
        <f>'[3]GQ &amp; HH projection POP '!Y71</f>
        <v>68465</v>
      </c>
      <c r="E39" s="63">
        <f>'[3]GQ &amp; HH projection POP '!Z71</f>
        <v>74577.999999999956</v>
      </c>
      <c r="F39" s="63">
        <f>'[3]GQ &amp; HH projection POP '!AA71</f>
        <v>80292.999999999971</v>
      </c>
      <c r="G39" s="63">
        <f>'[3]GQ &amp; HH projection POP '!AB71</f>
        <v>85777.000000000015</v>
      </c>
      <c r="H39" s="63">
        <f>'[3]GQ &amp; HH projection POP '!AC71</f>
        <v>91259.999999999956</v>
      </c>
      <c r="J39" s="52">
        <v>89025.156403813264</v>
      </c>
      <c r="K39" s="38">
        <f t="shared" si="8"/>
        <v>0.94361615613987526</v>
      </c>
      <c r="L39" s="38">
        <f t="shared" si="9"/>
        <v>0.9436594257479437</v>
      </c>
      <c r="M39" s="38">
        <f t="shared" si="10"/>
        <v>0.94372001984892762</v>
      </c>
      <c r="N39" s="38">
        <f t="shared" si="11"/>
        <v>0.94375055363628313</v>
      </c>
      <c r="O39" s="38">
        <f t="shared" si="12"/>
        <v>0.94374640040433011</v>
      </c>
      <c r="P39" s="38">
        <f t="shared" si="13"/>
        <v>0.94371403738461712</v>
      </c>
      <c r="Q39" s="38">
        <f t="shared" si="14"/>
        <v>0.94368498335160178</v>
      </c>
    </row>
    <row r="40" spans="1:17" s="43" customFormat="1" x14ac:dyDescent="0.3">
      <c r="A40" s="40" t="s">
        <v>86</v>
      </c>
      <c r="B40" s="41">
        <f t="shared" ref="B40" si="15">SUM(B25:B39)</f>
        <v>2349059</v>
      </c>
      <c r="C40" s="41">
        <f t="shared" ref="C40" si="16">SUM(C25:C39)</f>
        <v>2482152.9999999995</v>
      </c>
      <c r="D40" s="41">
        <f t="shared" ref="D40" si="17">SUM(D25:D39)</f>
        <v>2600895.0000000005</v>
      </c>
      <c r="E40" s="41">
        <f t="shared" ref="E40" si="18">SUM(E25:E39)</f>
        <v>2747350.9999999995</v>
      </c>
      <c r="F40" s="41">
        <f t="shared" ref="F40" si="19">SUM(F25:F39)</f>
        <v>2861753</v>
      </c>
      <c r="G40" s="41">
        <f t="shared" ref="G40" si="20">SUM(G25:G39)</f>
        <v>2960127</v>
      </c>
      <c r="H40" s="41">
        <f t="shared" ref="H40" si="21">SUM(H25:H39)</f>
        <v>3058625</v>
      </c>
      <c r="J40" s="54"/>
      <c r="K40" s="42">
        <f t="shared" si="8"/>
        <v>0.9711020677464135</v>
      </c>
      <c r="L40" s="42">
        <f t="shared" si="9"/>
        <v>0.97136337434436038</v>
      </c>
      <c r="M40" s="42">
        <f t="shared" si="10"/>
        <v>0.97154066571712572</v>
      </c>
      <c r="N40" s="42">
        <f t="shared" si="11"/>
        <v>0.97174380084025469</v>
      </c>
      <c r="O40" s="42">
        <f t="shared" si="12"/>
        <v>0.97188028199865995</v>
      </c>
      <c r="P40" s="42">
        <f t="shared" si="13"/>
        <v>0.97198408904043021</v>
      </c>
      <c r="Q40" s="42">
        <f t="shared" si="14"/>
        <v>0.97208295658778976</v>
      </c>
    </row>
    <row r="43" spans="1:17" x14ac:dyDescent="0.3">
      <c r="A43" s="21">
        <v>1</v>
      </c>
      <c r="B43" s="22" t="s">
        <v>74</v>
      </c>
    </row>
    <row r="44" spans="1:17" x14ac:dyDescent="0.3">
      <c r="A44" s="21">
        <v>2</v>
      </c>
      <c r="B44" s="22" t="s">
        <v>131</v>
      </c>
    </row>
    <row r="46" spans="1:17" x14ac:dyDescent="0.3">
      <c r="B46" s="50" t="s">
        <v>144</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92</v>
      </c>
      <c r="D1" s="88"/>
      <c r="E1" s="88"/>
      <c r="F1" s="88"/>
      <c r="G1" s="88"/>
      <c r="H1" s="88"/>
      <c r="I1" s="88"/>
      <c r="J1" s="88"/>
      <c r="K1" s="88"/>
      <c r="L1" s="88"/>
      <c r="M1" s="88"/>
      <c r="N1" s="88"/>
      <c r="O1" s="88"/>
      <c r="P1" s="88"/>
      <c r="Q1" s="88"/>
      <c r="R1" s="88"/>
    </row>
    <row r="2" spans="1:18" s="9" customFormat="1" ht="26.25" customHeight="1" x14ac:dyDescent="0.3">
      <c r="A2" s="90" t="s">
        <v>93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94</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f>'[4]Population by Age'!B5-'[3]GQ &amp; HH projection POP '!N3</f>
        <v>53459.583726832556</v>
      </c>
      <c r="C5" s="29">
        <f>'[4]Population by Age'!C5-'[3]GQ &amp; HH projection POP '!O3</f>
        <v>57802.211467654452</v>
      </c>
      <c r="D5" s="29">
        <f>'[4]Population by Age'!D5-'[3]GQ &amp; HH projection POP '!P3</f>
        <v>62488.39684578064</v>
      </c>
      <c r="E5" s="29">
        <f>'[4]Population by Age'!E5-'[3]GQ &amp; HH projection POP '!Q3</f>
        <v>68429.155709672006</v>
      </c>
      <c r="F5" s="29">
        <f>'[4]Population by Age'!F5-'[3]GQ &amp; HH projection POP '!R3</f>
        <v>74584.973531533033</v>
      </c>
      <c r="G5" s="29">
        <f>'[4]Population by Age'!G5-'[3]GQ &amp; HH projection POP '!S3</f>
        <v>80292.681834548057</v>
      </c>
      <c r="H5" s="29">
        <f>'[4]Population by Age'!H5-'[3]GQ &amp; HH projection POP '!T3</f>
        <v>85615.512780252422</v>
      </c>
      <c r="J5" s="29"/>
      <c r="K5" s="30"/>
      <c r="L5" s="30">
        <f t="shared" ref="L5:L20" si="0">B5/(B5+B25+B45)</f>
        <v>0.25298288224247245</v>
      </c>
      <c r="M5" s="30">
        <f t="shared" ref="M5:M20" si="1">C5/(C5+C25+C45)</f>
        <v>0.23670513920290934</v>
      </c>
      <c r="N5" s="30">
        <f t="shared" ref="N5:N20" si="2">D5/(D5+D25+D45)</f>
        <v>0.227522590255057</v>
      </c>
      <c r="O5" s="30">
        <f t="shared" ref="O5:O20" si="3">E5/(E5+E25+E45)</f>
        <v>0.22216753421081994</v>
      </c>
      <c r="P5" s="30">
        <f t="shared" ref="P5:P20" si="4">F5/(F5+F25+F45)</f>
        <v>0.22063949098193425</v>
      </c>
      <c r="Q5" s="30">
        <f t="shared" ref="Q5:Q20" si="5">G5/(G5+G25+G45)</f>
        <v>0.21913283671764236</v>
      </c>
      <c r="R5" s="30">
        <f t="shared" ref="R5:R20" si="6">H5/(H5+H25+H45)</f>
        <v>0.21686672403200838</v>
      </c>
    </row>
    <row r="6" spans="1:18" s="13" customFormat="1" x14ac:dyDescent="0.3">
      <c r="A6" s="28" t="s">
        <v>19</v>
      </c>
      <c r="B6" s="29">
        <f>'[4]Population by Age'!B6-'[3]GQ &amp; HH projection POP '!N4</f>
        <v>37338.736271349422</v>
      </c>
      <c r="C6" s="29">
        <f>'[4]Population by Age'!C6-'[3]GQ &amp; HH projection POP '!O4</f>
        <v>39868.978376774852</v>
      </c>
      <c r="D6" s="29">
        <f>'[4]Population by Age'!D6-'[3]GQ &amp; HH projection POP '!P4</f>
        <v>42433.10632611662</v>
      </c>
      <c r="E6" s="29">
        <f>'[4]Population by Age'!E6-'[3]GQ &amp; HH projection POP '!Q4</f>
        <v>45292.283996553808</v>
      </c>
      <c r="F6" s="29">
        <f>'[4]Population by Age'!F6-'[3]GQ &amp; HH projection POP '!R4</f>
        <v>47626.957096687824</v>
      </c>
      <c r="G6" s="29">
        <f>'[4]Population by Age'!G6-'[3]GQ &amp; HH projection POP '!S4</f>
        <v>49682.842434346465</v>
      </c>
      <c r="H6" s="29">
        <f>'[4]Population by Age'!H6-'[3]GQ &amp; HH projection POP '!T4</f>
        <v>51679.732864178513</v>
      </c>
      <c r="J6" s="29"/>
      <c r="K6" s="30"/>
      <c r="L6" s="30">
        <f t="shared" si="0"/>
        <v>0.23901686279013573</v>
      </c>
      <c r="M6" s="30">
        <f t="shared" si="1"/>
        <v>0.2394892829360255</v>
      </c>
      <c r="N6" s="30">
        <f t="shared" si="2"/>
        <v>0.24145938411091999</v>
      </c>
      <c r="O6" s="30">
        <f t="shared" si="3"/>
        <v>0.24337474810212631</v>
      </c>
      <c r="P6" s="30">
        <f t="shared" si="4"/>
        <v>0.24398430929887976</v>
      </c>
      <c r="Q6" s="30">
        <f t="shared" si="5"/>
        <v>0.24392956708094907</v>
      </c>
      <c r="R6" s="30">
        <f t="shared" si="6"/>
        <v>0.24360111461368439</v>
      </c>
    </row>
    <row r="7" spans="1:18" x14ac:dyDescent="0.3">
      <c r="A7" s="28" t="s">
        <v>44</v>
      </c>
      <c r="B7" s="29">
        <f>'[4]Population by Age'!B7-'[3]GQ &amp; HH projection POP '!N5</f>
        <v>6616.6189019909652</v>
      </c>
      <c r="C7" s="29">
        <f>'[4]Population by Age'!C7-'[3]GQ &amp; HH projection POP '!O5</f>
        <v>6617.3337001835789</v>
      </c>
      <c r="D7" s="29">
        <f>'[4]Population by Age'!D7-'[3]GQ &amp; HH projection POP '!P5</f>
        <v>6510.3178215743965</v>
      </c>
      <c r="E7" s="29">
        <f>'[4]Population by Age'!E7-'[3]GQ &amp; HH projection POP '!Q5</f>
        <v>6616.8701074837281</v>
      </c>
      <c r="F7" s="29">
        <f>'[4]Population by Age'!F7-'[3]GQ &amp; HH projection POP '!R5</f>
        <v>6856.0953628590414</v>
      </c>
      <c r="G7" s="29">
        <f>'[4]Population by Age'!G7-'[3]GQ &amp; HH projection POP '!S5</f>
        <v>7091.3457547894677</v>
      </c>
      <c r="H7" s="29">
        <f>'[4]Population by Age'!H7-'[3]GQ &amp; HH projection POP '!T5</f>
        <v>7290.1283260210548</v>
      </c>
      <c r="J7" s="29"/>
      <c r="K7" s="30"/>
      <c r="L7" s="30">
        <f t="shared" si="0"/>
        <v>0.25137219443776943</v>
      </c>
      <c r="M7" s="30">
        <f t="shared" si="1"/>
        <v>0.24700760359027912</v>
      </c>
      <c r="N7" s="30">
        <f t="shared" si="2"/>
        <v>0.23775903226843895</v>
      </c>
      <c r="O7" s="30">
        <f t="shared" si="3"/>
        <v>0.23627459766055087</v>
      </c>
      <c r="P7" s="30">
        <f t="shared" si="4"/>
        <v>0.23979907533346309</v>
      </c>
      <c r="Q7" s="30">
        <f t="shared" si="5"/>
        <v>0.24317910067519868</v>
      </c>
      <c r="R7" s="30">
        <f t="shared" si="6"/>
        <v>0.24520293047731501</v>
      </c>
    </row>
    <row r="8" spans="1:18" s="13" customFormat="1" x14ac:dyDescent="0.3">
      <c r="A8" s="28" t="s">
        <v>20</v>
      </c>
      <c r="B8" s="29">
        <f>'[4]Population by Age'!B8-'[3]GQ &amp; HH projection POP '!N6</f>
        <v>309386.5209525972</v>
      </c>
      <c r="C8" s="29">
        <f>'[4]Population by Age'!C8-'[3]GQ &amp; HH projection POP '!O6</f>
        <v>324447.43943582271</v>
      </c>
      <c r="D8" s="29">
        <f>'[4]Population by Age'!D8-'[3]GQ &amp; HH projection POP '!P6</f>
        <v>335630.41319176171</v>
      </c>
      <c r="E8" s="29">
        <f>'[4]Population by Age'!E8-'[3]GQ &amp; HH projection POP '!Q6</f>
        <v>347855.69854237244</v>
      </c>
      <c r="F8" s="29">
        <f>'[4]Population by Age'!F8-'[3]GQ &amp; HH projection POP '!R6</f>
        <v>359171.99877919804</v>
      </c>
      <c r="G8" s="29">
        <f>'[4]Population by Age'!G8-'[3]GQ &amp; HH projection POP '!S6</f>
        <v>366068.57285475254</v>
      </c>
      <c r="H8" s="29">
        <f>'[4]Population by Age'!H8-'[3]GQ &amp; HH projection POP '!T6</f>
        <v>375105.21344734944</v>
      </c>
      <c r="J8" s="29"/>
      <c r="K8" s="30"/>
      <c r="L8" s="30">
        <f t="shared" si="0"/>
        <v>0.23424335943582081</v>
      </c>
      <c r="M8" s="30">
        <f t="shared" si="1"/>
        <v>0.23390477303295151</v>
      </c>
      <c r="N8" s="30">
        <f t="shared" si="2"/>
        <v>0.23242443475757382</v>
      </c>
      <c r="O8" s="30">
        <f t="shared" si="3"/>
        <v>0.22933826826723225</v>
      </c>
      <c r="P8" s="30">
        <f t="shared" si="4"/>
        <v>0.22855768271989449</v>
      </c>
      <c r="Q8" s="30">
        <f t="shared" si="5"/>
        <v>0.22636719209146522</v>
      </c>
      <c r="R8" s="30">
        <f t="shared" si="6"/>
        <v>0.22558445374100516</v>
      </c>
    </row>
    <row r="9" spans="1:18" x14ac:dyDescent="0.3">
      <c r="A9" s="28" t="s">
        <v>45</v>
      </c>
      <c r="B9" s="29">
        <f>'[4]Population by Age'!B9-'[3]GQ &amp; HH projection POP '!N7</f>
        <v>6007.1658223048462</v>
      </c>
      <c r="C9" s="29">
        <f>'[4]Population by Age'!C9-'[3]GQ &amp; HH projection POP '!O7</f>
        <v>5895.6057442156743</v>
      </c>
      <c r="D9" s="29">
        <f>'[4]Population by Age'!D9-'[3]GQ &amp; HH projection POP '!P7</f>
        <v>5871.4570470025728</v>
      </c>
      <c r="E9" s="29">
        <f>'[4]Population by Age'!E9-'[3]GQ &amp; HH projection POP '!Q7</f>
        <v>5798.3794252161033</v>
      </c>
      <c r="F9" s="29">
        <f>'[4]Population by Age'!F9-'[3]GQ &amp; HH projection POP '!R7</f>
        <v>5758.1538971325135</v>
      </c>
      <c r="G9" s="29">
        <f>'[4]Population by Age'!G9-'[3]GQ &amp; HH projection POP '!S7</f>
        <v>5674.326772685904</v>
      </c>
      <c r="H9" s="29">
        <f>'[4]Population by Age'!H9-'[3]GQ &amp; HH projection POP '!T7</f>
        <v>5610.5867615641164</v>
      </c>
      <c r="J9" s="29"/>
      <c r="K9" s="30"/>
      <c r="L9" s="30">
        <f t="shared" si="0"/>
        <v>0.23630721931886414</v>
      </c>
      <c r="M9" s="30">
        <f t="shared" si="1"/>
        <v>0.23269678497851565</v>
      </c>
      <c r="N9" s="30">
        <f t="shared" si="2"/>
        <v>0.23361544769834772</v>
      </c>
      <c r="O9" s="30">
        <f t="shared" si="3"/>
        <v>0.23193517700864413</v>
      </c>
      <c r="P9" s="30">
        <f t="shared" si="4"/>
        <v>0.23219298750483941</v>
      </c>
      <c r="Q9" s="30">
        <f t="shared" si="5"/>
        <v>0.23102995695150461</v>
      </c>
      <c r="R9" s="30">
        <f t="shared" si="6"/>
        <v>0.23066053122694122</v>
      </c>
    </row>
    <row r="10" spans="1:18" x14ac:dyDescent="0.3">
      <c r="A10" s="28" t="s">
        <v>46</v>
      </c>
      <c r="B10" s="29">
        <f>'[4]Population by Age'!B10-'[3]GQ &amp; HH projection POP '!N8</f>
        <v>14854.415922900182</v>
      </c>
      <c r="C10" s="29">
        <f>'[4]Population by Age'!C10-'[3]GQ &amp; HH projection POP '!O8</f>
        <v>15203.266136525253</v>
      </c>
      <c r="D10" s="29">
        <f>'[4]Population by Age'!D10-'[3]GQ &amp; HH projection POP '!P8</f>
        <v>15471.644154498597</v>
      </c>
      <c r="E10" s="29">
        <f>'[4]Population by Age'!E10-'[3]GQ &amp; HH projection POP '!Q8</f>
        <v>16053.808243659973</v>
      </c>
      <c r="F10" s="29">
        <f>'[4]Population by Age'!F10-'[3]GQ &amp; HH projection POP '!R8</f>
        <v>16481.424573853037</v>
      </c>
      <c r="G10" s="29">
        <f>'[4]Population by Age'!G10-'[3]GQ &amp; HH projection POP '!S8</f>
        <v>16768.684097150177</v>
      </c>
      <c r="H10" s="29">
        <f>'[4]Population by Age'!H10-'[3]GQ &amp; HH projection POP '!T8</f>
        <v>17042.832716342447</v>
      </c>
      <c r="J10" s="29"/>
      <c r="K10" s="30"/>
      <c r="L10" s="30">
        <f t="shared" si="0"/>
        <v>0.24751172078480679</v>
      </c>
      <c r="M10" s="30">
        <f t="shared" si="1"/>
        <v>0.24741275100530927</v>
      </c>
      <c r="N10" s="30">
        <f t="shared" si="2"/>
        <v>0.24703642329429815</v>
      </c>
      <c r="O10" s="30">
        <f t="shared" si="3"/>
        <v>0.24967042369611156</v>
      </c>
      <c r="P10" s="30">
        <f t="shared" si="4"/>
        <v>0.25197102237965197</v>
      </c>
      <c r="Q10" s="30">
        <f t="shared" si="5"/>
        <v>0.25314660251430637</v>
      </c>
      <c r="R10" s="30">
        <f t="shared" si="6"/>
        <v>0.25409757747409423</v>
      </c>
    </row>
    <row r="11" spans="1:18" s="13" customFormat="1" x14ac:dyDescent="0.3">
      <c r="A11" s="28" t="s">
        <v>21</v>
      </c>
      <c r="B11" s="29">
        <f>'[4]Population by Age'!B11-'[3]GQ &amp; HH projection POP '!N9</f>
        <v>41091.689665076068</v>
      </c>
      <c r="C11" s="29">
        <f>'[4]Population by Age'!C11-'[3]GQ &amp; HH projection POP '!O9</f>
        <v>43785.054880020369</v>
      </c>
      <c r="D11" s="29">
        <f>'[4]Population by Age'!D11-'[3]GQ &amp; HH projection POP '!P9</f>
        <v>45856.897357579212</v>
      </c>
      <c r="E11" s="29">
        <f>'[4]Population by Age'!E11-'[3]GQ &amp; HH projection POP '!Q9</f>
        <v>49464.022784910907</v>
      </c>
      <c r="F11" s="29">
        <f>'[4]Population by Age'!F11-'[3]GQ &amp; HH projection POP '!R9</f>
        <v>51476.736870259097</v>
      </c>
      <c r="G11" s="29">
        <f>'[4]Population by Age'!G11-'[3]GQ &amp; HH projection POP '!S9</f>
        <v>52202.186408954476</v>
      </c>
      <c r="H11" s="29">
        <f>'[4]Population by Age'!H11-'[3]GQ &amp; HH projection POP '!T9</f>
        <v>52930.902274758904</v>
      </c>
      <c r="J11" s="29"/>
      <c r="K11" s="30"/>
      <c r="L11" s="30">
        <f t="shared" si="0"/>
        <v>0.23363082085861658</v>
      </c>
      <c r="M11" s="30">
        <f t="shared" si="1"/>
        <v>0.23255534305665224</v>
      </c>
      <c r="N11" s="30">
        <f t="shared" si="2"/>
        <v>0.23151513511472652</v>
      </c>
      <c r="O11" s="30">
        <f t="shared" si="3"/>
        <v>0.23079087169384158</v>
      </c>
      <c r="P11" s="30">
        <f t="shared" si="4"/>
        <v>0.23063570810394093</v>
      </c>
      <c r="Q11" s="30">
        <f t="shared" si="5"/>
        <v>0.22857699880004062</v>
      </c>
      <c r="R11" s="30">
        <f t="shared" si="6"/>
        <v>0.22662269131697915</v>
      </c>
    </row>
    <row r="12" spans="1:18" x14ac:dyDescent="0.3">
      <c r="A12" s="28" t="s">
        <v>47</v>
      </c>
      <c r="B12" s="29">
        <f>'[4]Population by Age'!B12-'[3]GQ &amp; HH projection POP '!N10</f>
        <v>10295.89182630824</v>
      </c>
      <c r="C12" s="29">
        <f>'[4]Population by Age'!C12-'[3]GQ &amp; HH projection POP '!O10</f>
        <v>10076.05936041166</v>
      </c>
      <c r="D12" s="29">
        <f>'[4]Population by Age'!D12-'[3]GQ &amp; HH projection POP '!P10</f>
        <v>9945.7209696540285</v>
      </c>
      <c r="E12" s="29">
        <f>'[4]Population by Age'!E12-'[3]GQ &amp; HH projection POP '!Q10</f>
        <v>9964.2687036293737</v>
      </c>
      <c r="F12" s="29">
        <f>'[4]Population by Age'!F12-'[3]GQ &amp; HH projection POP '!R10</f>
        <v>9955.3452563031678</v>
      </c>
      <c r="G12" s="29">
        <f>'[4]Population by Age'!G12-'[3]GQ &amp; HH projection POP '!S10</f>
        <v>9877.5064022475126</v>
      </c>
      <c r="H12" s="29">
        <f>'[4]Population by Age'!H12-'[3]GQ &amp; HH projection POP '!T10</f>
        <v>9771.3658346794327</v>
      </c>
      <c r="J12" s="29"/>
      <c r="K12" s="30"/>
      <c r="L12" s="30">
        <f t="shared" si="0"/>
        <v>0.23692136655333404</v>
      </c>
      <c r="M12" s="30">
        <f t="shared" si="1"/>
        <v>0.23215121904964317</v>
      </c>
      <c r="N12" s="30">
        <f t="shared" si="2"/>
        <v>0.22750757090433774</v>
      </c>
      <c r="O12" s="30">
        <f t="shared" si="3"/>
        <v>0.2260906857784846</v>
      </c>
      <c r="P12" s="30">
        <f t="shared" si="4"/>
        <v>0.22438626132718387</v>
      </c>
      <c r="Q12" s="30">
        <f t="shared" si="5"/>
        <v>0.22125047939807163</v>
      </c>
      <c r="R12" s="30">
        <f t="shared" si="6"/>
        <v>0.21752333729612947</v>
      </c>
    </row>
    <row r="13" spans="1:18" s="13" customFormat="1" x14ac:dyDescent="0.3">
      <c r="A13" s="28" t="s">
        <v>22</v>
      </c>
      <c r="B13" s="29">
        <f>'[4]Population by Age'!B13-'[3]GQ &amp; HH projection POP '!N11</f>
        <v>8858.5687716613866</v>
      </c>
      <c r="C13" s="29">
        <f>'[4]Population by Age'!C13-'[3]GQ &amp; HH projection POP '!O11</f>
        <v>8998.9675807862277</v>
      </c>
      <c r="D13" s="29">
        <f>'[4]Population by Age'!D13-'[3]GQ &amp; HH projection POP '!P11</f>
        <v>9103.5586484847972</v>
      </c>
      <c r="E13" s="29">
        <f>'[4]Population by Age'!E13-'[3]GQ &amp; HH projection POP '!Q11</f>
        <v>9398.6890117466028</v>
      </c>
      <c r="F13" s="29">
        <f>'[4]Population by Age'!F13-'[3]GQ &amp; HH projection POP '!R11</f>
        <v>9510.6772037751962</v>
      </c>
      <c r="G13" s="29">
        <f>'[4]Population by Age'!G13-'[3]GQ &amp; HH projection POP '!S11</f>
        <v>9885.7182131393984</v>
      </c>
      <c r="H13" s="29">
        <f>'[4]Population by Age'!H13-'[3]GQ &amp; HH projection POP '!T11</f>
        <v>10299.994395554731</v>
      </c>
      <c r="J13" s="29"/>
      <c r="K13" s="30"/>
      <c r="L13" s="30">
        <f t="shared" si="0"/>
        <v>0.21503990221292346</v>
      </c>
      <c r="M13" s="30">
        <f t="shared" si="1"/>
        <v>0.2051841757669349</v>
      </c>
      <c r="N13" s="30">
        <f t="shared" si="2"/>
        <v>0.19702966514771006</v>
      </c>
      <c r="O13" s="30">
        <f t="shared" si="3"/>
        <v>0.19266320258587219</v>
      </c>
      <c r="P13" s="30">
        <f t="shared" si="4"/>
        <v>0.18612985505558446</v>
      </c>
      <c r="Q13" s="30">
        <f t="shared" si="5"/>
        <v>0.18555668993804711</v>
      </c>
      <c r="R13" s="30">
        <f t="shared" si="6"/>
        <v>0.18573608142736867</v>
      </c>
    </row>
    <row r="14" spans="1:18" x14ac:dyDescent="0.3">
      <c r="A14" s="28" t="s">
        <v>48</v>
      </c>
      <c r="B14" s="29">
        <f>'[4]Population by Age'!B14-'[3]GQ &amp; HH projection POP '!N12</f>
        <v>13725.130256413764</v>
      </c>
      <c r="C14" s="29">
        <f>'[4]Population by Age'!C14-'[3]GQ &amp; HH projection POP '!O12</f>
        <v>13735.254207080172</v>
      </c>
      <c r="D14" s="29">
        <f>'[4]Population by Age'!D14-'[3]GQ &amp; HH projection POP '!P12</f>
        <v>13585.834774321616</v>
      </c>
      <c r="E14" s="29">
        <f>'[4]Population by Age'!E14-'[3]GQ &amp; HH projection POP '!Q12</f>
        <v>13125.756824930993</v>
      </c>
      <c r="F14" s="29">
        <f>'[4]Population by Age'!F14-'[3]GQ &amp; HH projection POP '!R12</f>
        <v>12804.025240378467</v>
      </c>
      <c r="G14" s="29">
        <f>'[4]Population by Age'!G14-'[3]GQ &amp; HH projection POP '!S12</f>
        <v>12909.087630134394</v>
      </c>
      <c r="H14" s="29">
        <f>'[4]Population by Age'!H14-'[3]GQ &amp; HH projection POP '!T12</f>
        <v>13136.203078176775</v>
      </c>
      <c r="J14" s="29"/>
      <c r="K14" s="30"/>
      <c r="L14" s="30">
        <f t="shared" si="0"/>
        <v>0.21895398032087041</v>
      </c>
      <c r="M14" s="30">
        <f t="shared" si="1"/>
        <v>0.21927289602618413</v>
      </c>
      <c r="N14" s="30">
        <f t="shared" si="2"/>
        <v>0.2174220589303463</v>
      </c>
      <c r="O14" s="30">
        <f t="shared" si="3"/>
        <v>0.20976374892017449</v>
      </c>
      <c r="P14" s="30">
        <f t="shared" si="4"/>
        <v>0.20523217991245857</v>
      </c>
      <c r="Q14" s="30">
        <f t="shared" si="5"/>
        <v>0.20800643931187693</v>
      </c>
      <c r="R14" s="30">
        <f t="shared" si="6"/>
        <v>0.21279061568653349</v>
      </c>
    </row>
    <row r="15" spans="1:18" x14ac:dyDescent="0.3">
      <c r="A15" s="28" t="s">
        <v>49</v>
      </c>
      <c r="B15" s="29">
        <f>'[4]Population by Age'!B15-'[3]GQ &amp; HH projection POP '!N13</f>
        <v>7661.3220727341277</v>
      </c>
      <c r="C15" s="29">
        <f>'[4]Population by Age'!C15-'[3]GQ &amp; HH projection POP '!O13</f>
        <v>7440.8843591855903</v>
      </c>
      <c r="D15" s="29">
        <f>'[4]Population by Age'!D15-'[3]GQ &amp; HH projection POP '!P13</f>
        <v>7506.5004466347245</v>
      </c>
      <c r="E15" s="29">
        <f>'[4]Population by Age'!E15-'[3]GQ &amp; HH projection POP '!Q13</f>
        <v>7842.7035497815959</v>
      </c>
      <c r="F15" s="29">
        <f>'[4]Population by Age'!F15-'[3]GQ &amp; HH projection POP '!R13</f>
        <v>7988.7423945505861</v>
      </c>
      <c r="G15" s="29">
        <f>'[4]Population by Age'!G15-'[3]GQ &amp; HH projection POP '!S13</f>
        <v>8008.728679254441</v>
      </c>
      <c r="H15" s="29">
        <f>'[4]Population by Age'!H15-'[3]GQ &amp; HH projection POP '!T13</f>
        <v>7949.6397024779972</v>
      </c>
      <c r="J15" s="29"/>
      <c r="K15" s="30"/>
      <c r="L15" s="30">
        <f t="shared" si="0"/>
        <v>0.23705319077737955</v>
      </c>
      <c r="M15" s="30">
        <f t="shared" si="1"/>
        <v>0.22018359351321506</v>
      </c>
      <c r="N15" s="30">
        <f t="shared" si="2"/>
        <v>0.21425718414827238</v>
      </c>
      <c r="O15" s="30">
        <f t="shared" si="3"/>
        <v>0.21365689241238994</v>
      </c>
      <c r="P15" s="30">
        <f t="shared" si="4"/>
        <v>0.21085152012644068</v>
      </c>
      <c r="Q15" s="30">
        <f t="shared" si="5"/>
        <v>0.20628824869933912</v>
      </c>
      <c r="R15" s="30">
        <f t="shared" si="6"/>
        <v>0.19995069426223647</v>
      </c>
    </row>
    <row r="16" spans="1:18" x14ac:dyDescent="0.3">
      <c r="A16" s="28" t="s">
        <v>50</v>
      </c>
      <c r="B16" s="29">
        <f>'[4]Population by Age'!B16-'[3]GQ &amp; HH projection POP '!N14</f>
        <v>8087.6459112307311</v>
      </c>
      <c r="C16" s="29">
        <f>'[4]Population by Age'!C16-'[3]GQ &amp; HH projection POP '!O14</f>
        <v>8338.769247659613</v>
      </c>
      <c r="D16" s="29">
        <f>'[4]Population by Age'!D16-'[3]GQ &amp; HH projection POP '!P14</f>
        <v>8345.9653423688615</v>
      </c>
      <c r="E16" s="29">
        <f>'[4]Population by Age'!E16-'[3]GQ &amp; HH projection POP '!Q14</f>
        <v>8414.617240112555</v>
      </c>
      <c r="F16" s="29">
        <f>'[4]Population by Age'!F16-'[3]GQ &amp; HH projection POP '!R14</f>
        <v>8520.4134637264324</v>
      </c>
      <c r="G16" s="29">
        <f>'[4]Population by Age'!G16-'[3]GQ &amp; HH projection POP '!S14</f>
        <v>8594.51626035548</v>
      </c>
      <c r="H16" s="29">
        <f>'[4]Population by Age'!H16-'[3]GQ &amp; HH projection POP '!T14</f>
        <v>8700.431226387831</v>
      </c>
      <c r="J16" s="29"/>
      <c r="K16" s="30"/>
      <c r="L16" s="30">
        <f t="shared" si="0"/>
        <v>0.24673253946827942</v>
      </c>
      <c r="M16" s="30">
        <f t="shared" si="1"/>
        <v>0.24360996925678102</v>
      </c>
      <c r="N16" s="30">
        <f t="shared" si="2"/>
        <v>0.23992311108977357</v>
      </c>
      <c r="O16" s="30">
        <f t="shared" si="3"/>
        <v>0.23701811841903433</v>
      </c>
      <c r="P16" s="30">
        <f t="shared" si="4"/>
        <v>0.23646139549097872</v>
      </c>
      <c r="Q16" s="30">
        <f t="shared" si="5"/>
        <v>0.23564050833097036</v>
      </c>
      <c r="R16" s="30">
        <f t="shared" si="6"/>
        <v>0.23570100578083139</v>
      </c>
    </row>
    <row r="17" spans="1:18" s="13" customFormat="1" x14ac:dyDescent="0.3">
      <c r="A17" s="28" t="s">
        <v>23</v>
      </c>
      <c r="B17" s="29">
        <f>'[4]Population by Age'!B17-'[3]GQ &amp; HH projection POP '!N15</f>
        <v>12285.485191957145</v>
      </c>
      <c r="C17" s="29">
        <f>'[4]Population by Age'!C17-'[3]GQ &amp; HH projection POP '!O15</f>
        <v>12592.193021688647</v>
      </c>
      <c r="D17" s="29">
        <f>'[4]Population by Age'!D17-'[3]GQ &amp; HH projection POP '!P15</f>
        <v>12939.834562919956</v>
      </c>
      <c r="E17" s="29">
        <f>'[4]Population by Age'!E17-'[3]GQ &amp; HH projection POP '!Q15</f>
        <v>13361.403106266223</v>
      </c>
      <c r="F17" s="29">
        <f>'[4]Population by Age'!F17-'[3]GQ &amp; HH projection POP '!R15</f>
        <v>13680.212626463008</v>
      </c>
      <c r="G17" s="29">
        <f>'[4]Population by Age'!G17-'[3]GQ &amp; HH projection POP '!S15</f>
        <v>14264.295430841039</v>
      </c>
      <c r="H17" s="29">
        <f>'[4]Population by Age'!H17-'[3]GQ &amp; HH projection POP '!T15</f>
        <v>14942.179947283839</v>
      </c>
      <c r="J17" s="29"/>
      <c r="K17" s="30"/>
      <c r="L17" s="30">
        <f t="shared" si="0"/>
        <v>0.22050983939327903</v>
      </c>
      <c r="M17" s="30">
        <f t="shared" si="1"/>
        <v>0.21154461187213183</v>
      </c>
      <c r="N17" s="30">
        <f t="shared" si="2"/>
        <v>0.20521504342113953</v>
      </c>
      <c r="O17" s="30">
        <f t="shared" si="3"/>
        <v>0.19979966962147053</v>
      </c>
      <c r="P17" s="30">
        <f t="shared" si="4"/>
        <v>0.19441785868632144</v>
      </c>
      <c r="Q17" s="30">
        <f t="shared" si="5"/>
        <v>0.19357691117741069</v>
      </c>
      <c r="R17" s="30">
        <f t="shared" si="6"/>
        <v>0.1940316060107759</v>
      </c>
    </row>
    <row r="18" spans="1:18" x14ac:dyDescent="0.3">
      <c r="A18" s="28" t="s">
        <v>51</v>
      </c>
      <c r="B18" s="29">
        <f>'[4]Population by Age'!B18-'[3]GQ &amp; HH projection POP '!N16</f>
        <v>15982.42728784206</v>
      </c>
      <c r="C18" s="29">
        <f>'[4]Population by Age'!C18-'[3]GQ &amp; HH projection POP '!O16</f>
        <v>15600.694818639011</v>
      </c>
      <c r="D18" s="29">
        <f>'[4]Population by Age'!D18-'[3]GQ &amp; HH projection POP '!P16</f>
        <v>15156.855419692933</v>
      </c>
      <c r="E18" s="29">
        <f>'[4]Population by Age'!E18-'[3]GQ &amp; HH projection POP '!Q16</f>
        <v>14958.689243558001</v>
      </c>
      <c r="F18" s="29">
        <f>'[4]Population by Age'!F18-'[3]GQ &amp; HH projection POP '!R16</f>
        <v>14620.23015868631</v>
      </c>
      <c r="G18" s="29">
        <f>'[4]Population by Age'!G18-'[3]GQ &amp; HH projection POP '!S16</f>
        <v>14644.736102732644</v>
      </c>
      <c r="H18" s="29">
        <f>'[4]Population by Age'!H18-'[3]GQ &amp; HH projection POP '!T16</f>
        <v>14716.499000366382</v>
      </c>
      <c r="J18" s="31"/>
      <c r="K18" s="30"/>
      <c r="L18" s="30">
        <f t="shared" si="0"/>
        <v>0.21484644828393681</v>
      </c>
      <c r="M18" s="30">
        <f t="shared" si="1"/>
        <v>0.21113690561029397</v>
      </c>
      <c r="N18" s="30">
        <f t="shared" si="2"/>
        <v>0.2062016926697903</v>
      </c>
      <c r="O18" s="30">
        <f t="shared" si="3"/>
        <v>0.20441511442725965</v>
      </c>
      <c r="P18" s="30">
        <f t="shared" si="4"/>
        <v>0.20087700473587297</v>
      </c>
      <c r="Q18" s="30">
        <f t="shared" si="5"/>
        <v>0.2024347359486425</v>
      </c>
      <c r="R18" s="30">
        <f t="shared" si="6"/>
        <v>0.20466586468766265</v>
      </c>
    </row>
    <row r="19" spans="1:18" s="13" customFormat="1" x14ac:dyDescent="0.3">
      <c r="A19" s="28" t="s">
        <v>24</v>
      </c>
      <c r="B19" s="29">
        <f>'[4]Population by Age'!B19-'[3]GQ &amp; HH projection POP '!N17</f>
        <v>15030.25030115564</v>
      </c>
      <c r="C19" s="29">
        <f>'[4]Population by Age'!C19-'[3]GQ &amp; HH projection POP '!O17</f>
        <v>16039.347970209572</v>
      </c>
      <c r="D19" s="29">
        <f>'[4]Population by Age'!D19-'[3]GQ &amp; HH projection POP '!P17</f>
        <v>17946.235207177706</v>
      </c>
      <c r="E19" s="29">
        <f>'[4]Population by Age'!E19-'[3]GQ &amp; HH projection POP '!Q17</f>
        <v>19936.599887105269</v>
      </c>
      <c r="F19" s="29">
        <f>'[4]Population by Age'!F19-'[3]GQ &amp; HH projection POP '!R17</f>
        <v>21575.900115514207</v>
      </c>
      <c r="G19" s="29">
        <f>'[4]Population by Age'!G19-'[3]GQ &amp; HH projection POP '!S17</f>
        <v>22584.108671687452</v>
      </c>
      <c r="H19" s="29">
        <f>'[4]Population by Age'!H19-'[3]GQ &amp; HH projection POP '!T17</f>
        <v>23471.020220866241</v>
      </c>
      <c r="J19" s="31"/>
      <c r="K19" s="61"/>
      <c r="L19" s="30">
        <f t="shared" si="0"/>
        <v>0.25002911636483416</v>
      </c>
      <c r="M19" s="30">
        <f t="shared" si="1"/>
        <v>0.25165682859040672</v>
      </c>
      <c r="N19" s="30">
        <f t="shared" si="2"/>
        <v>0.25700997045809937</v>
      </c>
      <c r="O19" s="30">
        <f t="shared" si="3"/>
        <v>0.26146703415264833</v>
      </c>
      <c r="P19" s="30">
        <f t="shared" si="4"/>
        <v>0.26217753345299488</v>
      </c>
      <c r="Q19" s="30">
        <f t="shared" si="5"/>
        <v>0.25619217351295415</v>
      </c>
      <c r="R19" s="30">
        <f t="shared" si="6"/>
        <v>0.24965983300925679</v>
      </c>
    </row>
    <row r="20" spans="1:18" s="19" customFormat="1" x14ac:dyDescent="0.3">
      <c r="A20" s="32" t="s">
        <v>86</v>
      </c>
      <c r="B20" s="33">
        <f t="shared" ref="B20:H20" si="7">SUM(B5:B19)</f>
        <v>560681.45288235426</v>
      </c>
      <c r="C20" s="33">
        <f t="shared" si="7"/>
        <v>586442.06030685722</v>
      </c>
      <c r="D20" s="33">
        <f t="shared" si="7"/>
        <v>608792.7381155683</v>
      </c>
      <c r="E20" s="33">
        <f t="shared" si="7"/>
        <v>636512.94637699949</v>
      </c>
      <c r="F20" s="33">
        <f t="shared" si="7"/>
        <v>660611.88657091977</v>
      </c>
      <c r="G20" s="33">
        <f t="shared" si="7"/>
        <v>678549.33754761936</v>
      </c>
      <c r="H20" s="33">
        <f t="shared" si="7"/>
        <v>698262.24257626012</v>
      </c>
      <c r="J20" s="58"/>
      <c r="K20" s="62"/>
      <c r="L20" s="34">
        <f t="shared" si="0"/>
        <v>0.23571711870006737</v>
      </c>
      <c r="M20" s="34">
        <f t="shared" si="1"/>
        <v>0.23320659545051381</v>
      </c>
      <c r="N20" s="34">
        <f t="shared" si="2"/>
        <v>0.23093089936882749</v>
      </c>
      <c r="O20" s="34">
        <f t="shared" si="3"/>
        <v>0.22843100568499905</v>
      </c>
      <c r="P20" s="34">
        <f t="shared" si="4"/>
        <v>0.22748915057813773</v>
      </c>
      <c r="Q20" s="34">
        <f t="shared" si="5"/>
        <v>0.22580406276251586</v>
      </c>
      <c r="R20" s="34">
        <f t="shared" si="6"/>
        <v>0.22480027254885401</v>
      </c>
    </row>
    <row r="22" spans="1:18" s="9" customFormat="1" ht="26.25" customHeight="1" x14ac:dyDescent="0.3">
      <c r="A22" s="90" t="s">
        <v>95</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51"/>
      <c r="J23" s="10"/>
      <c r="K23" s="93" t="s">
        <v>94</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f>'[4]Population by Age'!B25-'[3]GQ &amp; HH projection POP '!$N$21</f>
        <v>126668.52601590233</v>
      </c>
      <c r="C25" s="29">
        <f>'[4]Population by Age'!C25-'[3]GQ &amp; HH projection POP '!$N$21</f>
        <v>145319.24423133634</v>
      </c>
      <c r="D25" s="29">
        <f>'[4]Population by Age'!D25-'[3]GQ &amp; HH projection POP '!$N$21</f>
        <v>160653.84384566068</v>
      </c>
      <c r="E25" s="29">
        <f>'[4]Population by Age'!E25-'[3]GQ &amp; HH projection POP '!$N$21</f>
        <v>177640.12319771305</v>
      </c>
      <c r="F25" s="29">
        <f>'[4]Population by Age'!F25-'[3]GQ &amp; HH projection POP '!$N$21</f>
        <v>192780.78183376222</v>
      </c>
      <c r="G25" s="29">
        <f>'[4]Population by Age'!G25-'[3]GQ &amp; HH projection POP '!$N$21</f>
        <v>208387.53274779941</v>
      </c>
      <c r="H25" s="29">
        <f>'[4]Population by Age'!H25-'[3]GQ &amp; HH projection POP '!$N$21</f>
        <v>224128.50231069018</v>
      </c>
      <c r="J25" s="29"/>
      <c r="K25" s="30"/>
      <c r="L25" s="30">
        <f t="shared" ref="L25:L40" si="8">B25/(B5+B25+B45)</f>
        <v>0.59942421109471711</v>
      </c>
      <c r="M25" s="30">
        <f t="shared" ref="M25:M40" si="9">C25/(C5+C25+C45)</f>
        <v>0.5950950847942682</v>
      </c>
      <c r="N25" s="30">
        <f t="shared" ref="N25:N40" si="10">D25/(D5+D25+D45)</f>
        <v>0.58494665459903328</v>
      </c>
      <c r="O25" s="30">
        <f t="shared" ref="O25:O40" si="11">E25/(E5+E25+E45)</f>
        <v>0.57674053900629885</v>
      </c>
      <c r="P25" s="30">
        <f t="shared" ref="P25:P40" si="12">F25/(F5+F25+F45)</f>
        <v>0.57028985278003275</v>
      </c>
      <c r="Q25" s="30">
        <f t="shared" ref="Q25:Q40" si="13">G25/(G5+G25+G45)</f>
        <v>0.56872619202971364</v>
      </c>
      <c r="R25" s="30">
        <f t="shared" ref="R25:R40" si="14">H25/(H5+H25+H45)</f>
        <v>0.56772438171427952</v>
      </c>
    </row>
    <row r="26" spans="1:18" s="13" customFormat="1" x14ac:dyDescent="0.3">
      <c r="A26" s="28" t="s">
        <v>19</v>
      </c>
      <c r="B26" s="29">
        <f>'[4]Population by Age'!B26-'[3]GQ &amp; HH projection POP '!$N$21</f>
        <v>93009.150585371244</v>
      </c>
      <c r="C26" s="29">
        <f>'[4]Population by Age'!C26-'[3]GQ &amp; HH projection POP '!$N$21</f>
        <v>97008.335500189089</v>
      </c>
      <c r="D26" s="29">
        <f>'[4]Population by Age'!D26-'[3]GQ &amp; HH projection POP '!$N$21</f>
        <v>100239.14077227309</v>
      </c>
      <c r="E26" s="29">
        <f>'[4]Population by Age'!E26-'[3]GQ &amp; HH projection POP '!$N$21</f>
        <v>105773.37830183574</v>
      </c>
      <c r="F26" s="29">
        <f>'[4]Population by Age'!F26-'[3]GQ &amp; HH projection POP '!$N$21</f>
        <v>111882.18698681684</v>
      </c>
      <c r="G26" s="29">
        <f>'[4]Population by Age'!G26-'[3]GQ &amp; HH projection POP '!$N$21</f>
        <v>118235.30629321747</v>
      </c>
      <c r="H26" s="29">
        <f>'[4]Population by Age'!H26-'[3]GQ &amp; HH projection POP '!$N$21</f>
        <v>124206.67234646523</v>
      </c>
      <c r="J26" s="29"/>
      <c r="K26" s="30"/>
      <c r="L26" s="30">
        <f t="shared" si="8"/>
        <v>0.59538049767229928</v>
      </c>
      <c r="M26" s="30">
        <f t="shared" si="9"/>
        <v>0.58272014116347237</v>
      </c>
      <c r="N26" s="30">
        <f t="shared" si="10"/>
        <v>0.57039616681996363</v>
      </c>
      <c r="O26" s="30">
        <f t="shared" si="11"/>
        <v>0.56836544834168401</v>
      </c>
      <c r="P26" s="30">
        <f t="shared" si="12"/>
        <v>0.57315226037661349</v>
      </c>
      <c r="Q26" s="30">
        <f t="shared" si="13"/>
        <v>0.58050396605025345</v>
      </c>
      <c r="R26" s="30">
        <f t="shared" si="14"/>
        <v>0.58546904461706284</v>
      </c>
    </row>
    <row r="27" spans="1:18" x14ac:dyDescent="0.3">
      <c r="A27" s="28" t="s">
        <v>44</v>
      </c>
      <c r="B27" s="29">
        <f>'[4]Population by Age'!B27-'[3]GQ &amp; HH projection POP '!$N$21</f>
        <v>14679.627677665423</v>
      </c>
      <c r="C27" s="29">
        <f>'[4]Population by Age'!C27-'[3]GQ &amp; HH projection POP '!$N$21</f>
        <v>14695.060927796196</v>
      </c>
      <c r="D27" s="29">
        <f>'[4]Population by Age'!D27-'[3]GQ &amp; HH projection POP '!$N$21</f>
        <v>14967.915069246417</v>
      </c>
      <c r="E27" s="29">
        <f>'[4]Population by Age'!E27-'[3]GQ &amp; HH projection POP '!$N$21</f>
        <v>15299.343119206827</v>
      </c>
      <c r="F27" s="29">
        <f>'[4]Population by Age'!F27-'[3]GQ &amp; HH projection POP '!$N$21</f>
        <v>15600.57881490306</v>
      </c>
      <c r="G27" s="29">
        <f>'[4]Population by Age'!G27-'[3]GQ &amp; HH projection POP '!$N$21</f>
        <v>15984.655285276149</v>
      </c>
      <c r="H27" s="29">
        <f>'[4]Population by Age'!H27-'[3]GQ &amp; HH projection POP '!$N$21</f>
        <v>16395.186875287673</v>
      </c>
      <c r="J27" s="29"/>
      <c r="K27" s="30"/>
      <c r="L27" s="30">
        <f t="shared" si="8"/>
        <v>0.55769423591161105</v>
      </c>
      <c r="M27" s="30">
        <f t="shared" si="9"/>
        <v>0.54852784351609529</v>
      </c>
      <c r="N27" s="30">
        <f t="shared" si="10"/>
        <v>0.54663337481726737</v>
      </c>
      <c r="O27" s="30">
        <f t="shared" si="11"/>
        <v>0.54630755647944385</v>
      </c>
      <c r="P27" s="30">
        <f t="shared" si="12"/>
        <v>0.54564649067549453</v>
      </c>
      <c r="Q27" s="30">
        <f t="shared" si="13"/>
        <v>0.54815182213491143</v>
      </c>
      <c r="R27" s="30">
        <f t="shared" si="14"/>
        <v>0.55145090563007182</v>
      </c>
    </row>
    <row r="28" spans="1:18" s="13" customFormat="1" x14ac:dyDescent="0.3">
      <c r="A28" s="28" t="s">
        <v>20</v>
      </c>
      <c r="B28" s="29">
        <f>'[4]Population by Age'!B28-'[3]GQ &amp; HH projection POP '!$N$21</f>
        <v>843951.02510575601</v>
      </c>
      <c r="C28" s="29">
        <f>'[4]Population by Age'!C28-'[3]GQ &amp; HH projection POP '!$N$21</f>
        <v>868734.09728373564</v>
      </c>
      <c r="D28" s="29">
        <f>'[4]Population by Age'!D28-'[3]GQ &amp; HH projection POP '!$N$21</f>
        <v>894781.84436772089</v>
      </c>
      <c r="E28" s="29">
        <f>'[4]Population by Age'!E28-'[3]GQ &amp; HH projection POP '!$N$21</f>
        <v>942968.28458394075</v>
      </c>
      <c r="F28" s="29">
        <f>'[4]Population by Age'!F28-'[3]GQ &amp; HH projection POP '!$N$21</f>
        <v>982849.43629214843</v>
      </c>
      <c r="G28" s="29">
        <f>'[4]Population by Age'!G28-'[3]GQ &amp; HH projection POP '!$N$21</f>
        <v>1019973.1046496063</v>
      </c>
      <c r="H28" s="29">
        <f>'[4]Population by Age'!H28-'[3]GQ &amp; HH projection POP '!$N$21</f>
        <v>1048743.24498198</v>
      </c>
      <c r="J28" s="29"/>
      <c r="K28" s="30"/>
      <c r="L28" s="30">
        <f t="shared" si="8"/>
        <v>0.63897393691034843</v>
      </c>
      <c r="M28" s="30">
        <f t="shared" si="9"/>
        <v>0.62629883041913281</v>
      </c>
      <c r="N28" s="30">
        <f t="shared" si="10"/>
        <v>0.6196374232918046</v>
      </c>
      <c r="O28" s="30">
        <f t="shared" si="11"/>
        <v>0.6216908744735169</v>
      </c>
      <c r="P28" s="30">
        <f t="shared" si="12"/>
        <v>0.62543235660078478</v>
      </c>
      <c r="Q28" s="30">
        <f t="shared" si="13"/>
        <v>0.63072458230375528</v>
      </c>
      <c r="R28" s="30">
        <f t="shared" si="14"/>
        <v>0.63070350278412213</v>
      </c>
    </row>
    <row r="29" spans="1:18" x14ac:dyDescent="0.3">
      <c r="A29" s="28" t="s">
        <v>45</v>
      </c>
      <c r="B29" s="29">
        <f>'[4]Population by Age'!B29-'[3]GQ &amp; HH projection POP '!$N$21</f>
        <v>14145.806948650843</v>
      </c>
      <c r="C29" s="29">
        <f>'[4]Population by Age'!C29-'[3]GQ &amp; HH projection POP '!$N$21</f>
        <v>13599.747643817633</v>
      </c>
      <c r="D29" s="29">
        <f>'[4]Population by Age'!D29-'[3]GQ &amp; HH projection POP '!$N$21</f>
        <v>12986.346796202131</v>
      </c>
      <c r="E29" s="29">
        <f>'[4]Population by Age'!E29-'[3]GQ &amp; HH projection POP '!$N$21</f>
        <v>12769.05592717024</v>
      </c>
      <c r="F29" s="29">
        <f>'[4]Population by Age'!F29-'[3]GQ &amp; HH projection POP '!$N$21</f>
        <v>12631.527801949182</v>
      </c>
      <c r="G29" s="29">
        <f>'[4]Population by Age'!G29-'[3]GQ &amp; HH projection POP '!$N$21</f>
        <v>12670.691804210957</v>
      </c>
      <c r="H29" s="29">
        <f>'[4]Population by Age'!H29-'[3]GQ &amp; HH projection POP '!$N$21</f>
        <v>12736.209855250527</v>
      </c>
      <c r="J29" s="29"/>
      <c r="K29" s="30"/>
      <c r="L29" s="30">
        <f t="shared" si="8"/>
        <v>0.55646146684437436</v>
      </c>
      <c r="M29" s="30">
        <f t="shared" si="9"/>
        <v>0.53677564113583942</v>
      </c>
      <c r="N29" s="30">
        <f t="shared" si="10"/>
        <v>0.51670500124148055</v>
      </c>
      <c r="O29" s="30">
        <f t="shared" si="11"/>
        <v>0.51076223708680957</v>
      </c>
      <c r="P29" s="30">
        <f t="shared" si="12"/>
        <v>0.50935633702766969</v>
      </c>
      <c r="Q29" s="30">
        <f t="shared" si="13"/>
        <v>0.51588664159484388</v>
      </c>
      <c r="R29" s="30">
        <f t="shared" si="14"/>
        <v>0.52360671991656516</v>
      </c>
    </row>
    <row r="30" spans="1:18" x14ac:dyDescent="0.3">
      <c r="A30" s="28" t="s">
        <v>46</v>
      </c>
      <c r="B30" s="29">
        <f>'[4]Population by Age'!B30-'[3]GQ &amp; HH projection POP '!$N$21</f>
        <v>33642.314336779753</v>
      </c>
      <c r="C30" s="29">
        <f>'[4]Population by Age'!C30-'[3]GQ &amp; HH projection POP '!$N$21</f>
        <v>33084.544455171825</v>
      </c>
      <c r="D30" s="29">
        <f>'[4]Population by Age'!D30-'[3]GQ &amp; HH projection POP '!$N$21</f>
        <v>32947.024123720752</v>
      </c>
      <c r="E30" s="29">
        <f>'[4]Population by Age'!E30-'[3]GQ &amp; HH projection POP '!$N$21</f>
        <v>33588.691467978351</v>
      </c>
      <c r="F30" s="29">
        <f>'[4]Population by Age'!F30-'[3]GQ &amp; HH projection POP '!$N$21</f>
        <v>34494.498938120814</v>
      </c>
      <c r="G30" s="29">
        <f>'[4]Population by Age'!G30-'[3]GQ &amp; HH projection POP '!$N$21</f>
        <v>35497.843992272275</v>
      </c>
      <c r="H30" s="29">
        <f>'[4]Population by Age'!H30-'[3]GQ &amp; HH projection POP '!$N$21</f>
        <v>36398.448857707903</v>
      </c>
      <c r="J30" s="29"/>
      <c r="K30" s="30"/>
      <c r="L30" s="30">
        <f t="shared" si="8"/>
        <v>0.56056509767191121</v>
      </c>
      <c r="M30" s="30">
        <f t="shared" si="9"/>
        <v>0.5384065559272212</v>
      </c>
      <c r="N30" s="30">
        <f t="shared" si="10"/>
        <v>0.52606658454902289</v>
      </c>
      <c r="O30" s="30">
        <f t="shared" si="11"/>
        <v>0.52237467290790596</v>
      </c>
      <c r="P30" s="30">
        <f t="shared" si="12"/>
        <v>0.52735818587556649</v>
      </c>
      <c r="Q30" s="30">
        <f t="shared" si="13"/>
        <v>0.53588931314853727</v>
      </c>
      <c r="R30" s="30">
        <f t="shared" si="14"/>
        <v>0.54267725515428056</v>
      </c>
    </row>
    <row r="31" spans="1:18" s="13" customFormat="1" x14ac:dyDescent="0.3">
      <c r="A31" s="28" t="s">
        <v>21</v>
      </c>
      <c r="B31" s="29">
        <f>'[4]Population by Age'!B31-'[3]GQ &amp; HH projection POP '!$N$21</f>
        <v>104397.20986889364</v>
      </c>
      <c r="C31" s="29">
        <f>'[4]Population by Age'!C31-'[3]GQ &amp; HH projection POP '!$N$21</f>
        <v>108968.46297250778</v>
      </c>
      <c r="D31" s="29">
        <f>'[4]Population by Age'!D31-'[3]GQ &amp; HH projection POP '!$N$21</f>
        <v>112430.62358908379</v>
      </c>
      <c r="E31" s="29">
        <f>'[4]Population by Age'!E31-'[3]GQ &amp; HH projection POP '!$N$21</f>
        <v>121499.2943652876</v>
      </c>
      <c r="F31" s="29">
        <f>'[4]Population by Age'!F31-'[3]GQ &amp; HH projection POP '!$N$21</f>
        <v>127971.10695106082</v>
      </c>
      <c r="G31" s="29">
        <f>'[4]Population by Age'!G31-'[3]GQ &amp; HH projection POP '!$N$21</f>
        <v>133449.07246531182</v>
      </c>
      <c r="H31" s="29">
        <f>'[4]Population by Age'!H31-'[3]GQ &amp; HH projection POP '!$N$21</f>
        <v>137874.63781984075</v>
      </c>
      <c r="J31" s="29"/>
      <c r="K31" s="30"/>
      <c r="L31" s="30">
        <f t="shared" si="8"/>
        <v>0.59356054802848268</v>
      </c>
      <c r="M31" s="30">
        <f t="shared" si="9"/>
        <v>0.57876365253777806</v>
      </c>
      <c r="N31" s="30">
        <f t="shared" si="10"/>
        <v>0.56762215743227906</v>
      </c>
      <c r="O31" s="30">
        <f t="shared" si="11"/>
        <v>0.56689542172266094</v>
      </c>
      <c r="P31" s="30">
        <f t="shared" si="12"/>
        <v>0.5733600974531724</v>
      </c>
      <c r="Q31" s="30">
        <f t="shared" si="13"/>
        <v>0.58433162622356616</v>
      </c>
      <c r="R31" s="30">
        <f t="shared" si="14"/>
        <v>0.59030774357281424</v>
      </c>
    </row>
    <row r="32" spans="1:18" x14ac:dyDescent="0.3">
      <c r="A32" s="28" t="s">
        <v>47</v>
      </c>
      <c r="B32" s="29">
        <f>'[4]Population by Age'!B32-'[3]GQ &amp; HH projection POP '!$N$21</f>
        <v>24644.238165308059</v>
      </c>
      <c r="C32" s="29">
        <f>'[4]Population by Age'!C32-'[3]GQ &amp; HH projection POP '!$N$21</f>
        <v>23854.491733831775</v>
      </c>
      <c r="D32" s="29">
        <f>'[4]Population by Age'!D32-'[3]GQ &amp; HH projection POP '!$N$21</f>
        <v>23461.020485443973</v>
      </c>
      <c r="E32" s="29">
        <f>'[4]Population by Age'!E32-'[3]GQ &amp; HH projection POP '!$N$21</f>
        <v>23521.099277703652</v>
      </c>
      <c r="F32" s="29">
        <f>'[4]Population by Age'!F32-'[3]GQ &amp; HH projection POP '!$N$21</f>
        <v>23777.728849059517</v>
      </c>
      <c r="G32" s="29">
        <f>'[4]Population by Age'!G32-'[3]GQ &amp; HH projection POP '!$N$21</f>
        <v>24226.515076389842</v>
      </c>
      <c r="H32" s="29">
        <f>'[4]Population by Age'!H32-'[3]GQ &amp; HH projection POP '!$N$21</f>
        <v>24757.647651174069</v>
      </c>
      <c r="J32" s="29"/>
      <c r="K32" s="30"/>
      <c r="L32" s="30">
        <f t="shared" si="8"/>
        <v>0.5670947871530031</v>
      </c>
      <c r="M32" s="30">
        <f t="shared" si="9"/>
        <v>0.54960467557154524</v>
      </c>
      <c r="N32" s="30">
        <f t="shared" si="10"/>
        <v>0.53666896526315244</v>
      </c>
      <c r="O32" s="30">
        <f t="shared" si="11"/>
        <v>0.53369711557686628</v>
      </c>
      <c r="P32" s="30">
        <f t="shared" si="12"/>
        <v>0.53593276194152217</v>
      </c>
      <c r="Q32" s="30">
        <f t="shared" si="13"/>
        <v>0.54266004561396453</v>
      </c>
      <c r="R32" s="30">
        <f t="shared" si="14"/>
        <v>0.55113750030440256</v>
      </c>
    </row>
    <row r="33" spans="1:18" s="13" customFormat="1" x14ac:dyDescent="0.3">
      <c r="A33" s="28" t="s">
        <v>22</v>
      </c>
      <c r="B33" s="29">
        <f>'[4]Population by Age'!B33-'[3]GQ &amp; HH projection POP '!$N$21</f>
        <v>25500.531208140688</v>
      </c>
      <c r="C33" s="29">
        <f>'[4]Population by Age'!C33-'[3]GQ &amp; HH projection POP '!$N$21</f>
        <v>26622.860440931669</v>
      </c>
      <c r="D33" s="29">
        <f>'[4]Population by Age'!D33-'[3]GQ &amp; HH projection POP '!$N$21</f>
        <v>27479.178997949472</v>
      </c>
      <c r="E33" s="29">
        <f>'[4]Population by Age'!E33-'[3]GQ &amp; HH projection POP '!$N$21</f>
        <v>28752.469004496848</v>
      </c>
      <c r="F33" s="29">
        <f>'[4]Population by Age'!F33-'[3]GQ &amp; HH projection POP '!$N$21</f>
        <v>30257.324877176972</v>
      </c>
      <c r="G33" s="29">
        <f>'[4]Population by Age'!G33-'[3]GQ &amp; HH projection POP '!$N$21</f>
        <v>31774.778106326507</v>
      </c>
      <c r="H33" s="29">
        <f>'[4]Population by Age'!H33-'[3]GQ &amp; HH projection POP '!$N$21</f>
        <v>33212.833600953512</v>
      </c>
      <c r="J33" s="29"/>
      <c r="K33" s="30"/>
      <c r="L33" s="30">
        <f t="shared" si="8"/>
        <v>0.61902005602963162</v>
      </c>
      <c r="M33" s="30">
        <f t="shared" si="9"/>
        <v>0.60702404215722738</v>
      </c>
      <c r="N33" s="30">
        <f t="shared" si="10"/>
        <v>0.59473593190956342</v>
      </c>
      <c r="O33" s="30">
        <f t="shared" si="11"/>
        <v>0.58939526073625748</v>
      </c>
      <c r="P33" s="30">
        <f t="shared" si="12"/>
        <v>0.59215462506951444</v>
      </c>
      <c r="Q33" s="30">
        <f t="shared" si="13"/>
        <v>0.59641823910065517</v>
      </c>
      <c r="R33" s="30">
        <f t="shared" si="14"/>
        <v>0.59891504104144822</v>
      </c>
    </row>
    <row r="34" spans="1:18" x14ac:dyDescent="0.3">
      <c r="A34" s="28" t="s">
        <v>48</v>
      </c>
      <c r="B34" s="29">
        <f>'[4]Population by Age'!B34-'[3]GQ &amp; HH projection POP '!$N$21</f>
        <v>37112.487022203961</v>
      </c>
      <c r="C34" s="29">
        <f>'[4]Population by Age'!C34-'[3]GQ &amp; HH projection POP '!$N$21</f>
        <v>35839.638704776204</v>
      </c>
      <c r="D34" s="29">
        <f>'[4]Population by Age'!D34-'[3]GQ &amp; HH projection POP '!$N$21</f>
        <v>35177.507007892811</v>
      </c>
      <c r="E34" s="29">
        <f>'[4]Population by Age'!E34-'[3]GQ &amp; HH projection POP '!$N$21</f>
        <v>35756.962090151646</v>
      </c>
      <c r="F34" s="29">
        <f>'[4]Population by Age'!F34-'[3]GQ &amp; HH projection POP '!$N$21</f>
        <v>36420.84514132909</v>
      </c>
      <c r="G34" s="29">
        <f>'[4]Population by Age'!G34-'[3]GQ &amp; HH projection POP '!$N$21</f>
        <v>36727.52146634346</v>
      </c>
      <c r="H34" s="29">
        <f>'[4]Population by Age'!H34-'[3]GQ &amp; HH projection POP '!$N$21</f>
        <v>36724.715217497484</v>
      </c>
      <c r="J34" s="29"/>
      <c r="K34" s="30"/>
      <c r="L34" s="30">
        <f t="shared" si="8"/>
        <v>0.59204733225179795</v>
      </c>
      <c r="M34" s="30">
        <f t="shared" si="9"/>
        <v>0.5721525974581132</v>
      </c>
      <c r="N34" s="30">
        <f t="shared" si="10"/>
        <v>0.56296621655879431</v>
      </c>
      <c r="O34" s="30">
        <f t="shared" si="11"/>
        <v>0.57143481462191414</v>
      </c>
      <c r="P34" s="30">
        <f t="shared" si="12"/>
        <v>0.58377965540374888</v>
      </c>
      <c r="Q34" s="30">
        <f t="shared" si="13"/>
        <v>0.59179712647787597</v>
      </c>
      <c r="R34" s="30">
        <f t="shared" si="14"/>
        <v>0.59489600728131586</v>
      </c>
    </row>
    <row r="35" spans="1:18" x14ac:dyDescent="0.3">
      <c r="A35" s="28" t="s">
        <v>49</v>
      </c>
      <c r="B35" s="29">
        <f>'[4]Population by Age'!B35-'[3]GQ &amp; HH projection POP '!$N$21</f>
        <v>18507.092657152058</v>
      </c>
      <c r="C35" s="29">
        <f>'[4]Population by Age'!C35-'[3]GQ &amp; HH projection POP '!$N$21</f>
        <v>18897.973165368152</v>
      </c>
      <c r="D35" s="29">
        <f>'[4]Population by Age'!D35-'[3]GQ &amp; HH projection POP '!$N$21</f>
        <v>19081.608875306643</v>
      </c>
      <c r="E35" s="29">
        <f>'[4]Population by Age'!E35-'[3]GQ &amp; HH projection POP '!$N$21</f>
        <v>19633.623169395712</v>
      </c>
      <c r="F35" s="29">
        <f>'[4]Population by Age'!F35-'[3]GQ &amp; HH projection POP '!$N$21</f>
        <v>20177.664388449684</v>
      </c>
      <c r="G35" s="29">
        <f>'[4]Population by Age'!G35-'[3]GQ &amp; HH projection POP '!$N$21</f>
        <v>20844.328332197012</v>
      </c>
      <c r="H35" s="29">
        <f>'[4]Population by Age'!H35-'[3]GQ &amp; HH projection POP '!$N$21</f>
        <v>21657.810649045547</v>
      </c>
      <c r="J35" s="29"/>
      <c r="K35" s="30"/>
      <c r="L35" s="30">
        <f t="shared" si="8"/>
        <v>0.57263815888957148</v>
      </c>
      <c r="M35" s="30">
        <f t="shared" si="9"/>
        <v>0.55921090031864096</v>
      </c>
      <c r="N35" s="30">
        <f t="shared" si="10"/>
        <v>0.5446441808279332</v>
      </c>
      <c r="O35" s="30">
        <f t="shared" si="11"/>
        <v>0.53487408857699392</v>
      </c>
      <c r="P35" s="30">
        <f t="shared" si="12"/>
        <v>0.53256082106338898</v>
      </c>
      <c r="Q35" s="30">
        <f t="shared" si="13"/>
        <v>0.53690668758717808</v>
      </c>
      <c r="R35" s="30">
        <f t="shared" si="14"/>
        <v>0.54474094896739134</v>
      </c>
    </row>
    <row r="36" spans="1:18" x14ac:dyDescent="0.3">
      <c r="A36" s="28" t="s">
        <v>50</v>
      </c>
      <c r="B36" s="29">
        <f>'[4]Population by Age'!B36-'[3]GQ &amp; HH projection POP '!$N$21</f>
        <v>18796.122251132932</v>
      </c>
      <c r="C36" s="29">
        <f>'[4]Population by Age'!C36-'[3]GQ &amp; HH projection POP '!$N$21</f>
        <v>18876.442319527931</v>
      </c>
      <c r="D36" s="29">
        <f>'[4]Population by Age'!D36-'[3]GQ &amp; HH projection POP '!$N$21</f>
        <v>18704.19249324215</v>
      </c>
      <c r="E36" s="29">
        <f>'[4]Population by Age'!E36-'[3]GQ &amp; HH projection POP '!$N$21</f>
        <v>18867.553537854961</v>
      </c>
      <c r="F36" s="29">
        <f>'[4]Population by Age'!F36-'[3]GQ &amp; HH projection POP '!$N$21</f>
        <v>19252.468218630245</v>
      </c>
      <c r="G36" s="29">
        <f>'[4]Population by Age'!G36-'[3]GQ &amp; HH projection POP '!$N$21</f>
        <v>19693.724903156111</v>
      </c>
      <c r="H36" s="29">
        <f>'[4]Population by Age'!H36-'[3]GQ &amp; HH projection POP '!$N$21</f>
        <v>20069.935994145213</v>
      </c>
      <c r="J36" s="29"/>
      <c r="K36" s="30"/>
      <c r="L36" s="30">
        <f t="shared" si="8"/>
        <v>0.57341963608203217</v>
      </c>
      <c r="M36" s="30">
        <f t="shared" si="9"/>
        <v>0.55145902189681373</v>
      </c>
      <c r="N36" s="30">
        <f t="shared" si="10"/>
        <v>0.5376931091025744</v>
      </c>
      <c r="O36" s="30">
        <f t="shared" si="11"/>
        <v>0.53145044047814105</v>
      </c>
      <c r="P36" s="30">
        <f t="shared" si="12"/>
        <v>0.53430100792690738</v>
      </c>
      <c r="Q36" s="30">
        <f t="shared" si="13"/>
        <v>0.53995352461152402</v>
      </c>
      <c r="R36" s="30">
        <f t="shared" si="14"/>
        <v>0.54370915379799012</v>
      </c>
    </row>
    <row r="37" spans="1:18" s="13" customFormat="1" x14ac:dyDescent="0.3">
      <c r="A37" s="28" t="s">
        <v>23</v>
      </c>
      <c r="B37" s="29">
        <f>'[4]Population by Age'!B37-'[3]GQ &amp; HH projection POP '!$N$21</f>
        <v>34127.083732997664</v>
      </c>
      <c r="C37" s="29">
        <f>'[4]Population by Age'!C37-'[3]GQ &amp; HH projection POP '!$N$21</f>
        <v>36087.019469849693</v>
      </c>
      <c r="D37" s="29">
        <f>'[4]Population by Age'!D37-'[3]GQ &amp; HH projection POP '!$N$21</f>
        <v>37873.559998996156</v>
      </c>
      <c r="E37" s="29">
        <f>'[4]Population by Age'!E37-'[3]GQ &amp; HH projection POP '!$N$21</f>
        <v>40041.065411847834</v>
      </c>
      <c r="F37" s="29">
        <f>'[4]Population by Age'!F37-'[3]GQ &amp; HH projection POP '!$N$21</f>
        <v>42386.924474857857</v>
      </c>
      <c r="G37" s="29">
        <f>'[4]Population by Age'!G37-'[3]GQ &amp; HH projection POP '!$N$21</f>
        <v>44520.236139990819</v>
      </c>
      <c r="H37" s="29">
        <f>'[4]Population by Age'!H37-'[3]GQ &amp; HH projection POP '!$N$21</f>
        <v>46676.815128030124</v>
      </c>
      <c r="J37" s="29"/>
      <c r="K37" s="30"/>
      <c r="L37" s="30">
        <f t="shared" si="8"/>
        <v>0.61254054156940219</v>
      </c>
      <c r="M37" s="30">
        <f t="shared" si="9"/>
        <v>0.60624980209743284</v>
      </c>
      <c r="N37" s="30">
        <f t="shared" si="10"/>
        <v>0.60064324794221147</v>
      </c>
      <c r="O37" s="30">
        <f t="shared" si="11"/>
        <v>0.59875385668343195</v>
      </c>
      <c r="P37" s="30">
        <f t="shared" si="12"/>
        <v>0.60238647729493155</v>
      </c>
      <c r="Q37" s="30">
        <f t="shared" si="13"/>
        <v>0.60417213304731865</v>
      </c>
      <c r="R37" s="30">
        <f t="shared" si="14"/>
        <v>0.60612155888311925</v>
      </c>
    </row>
    <row r="38" spans="1:18" x14ac:dyDescent="0.3">
      <c r="A38" s="28" t="s">
        <v>51</v>
      </c>
      <c r="B38" s="29">
        <f>'[4]Population by Age'!B38-'[3]GQ &amp; HH projection POP '!$N$21</f>
        <v>45085.437093210021</v>
      </c>
      <c r="C38" s="29">
        <f>'[4]Population by Age'!C38-'[3]GQ &amp; HH projection POP '!$N$21</f>
        <v>43424.388239464359</v>
      </c>
      <c r="D38" s="29">
        <f>'[4]Population by Age'!D38-'[3]GQ &amp; HH projection POP '!$N$21</f>
        <v>42432.636167965698</v>
      </c>
      <c r="E38" s="29">
        <f>'[4]Population by Age'!E38-'[3]GQ &amp; HH projection POP '!$N$21</f>
        <v>42009.065475272546</v>
      </c>
      <c r="F38" s="29">
        <f>'[4]Population by Age'!F38-'[3]GQ &amp; HH projection POP '!$N$21</f>
        <v>42208.237658149024</v>
      </c>
      <c r="G38" s="29">
        <f>'[4]Population by Age'!G38-'[3]GQ &amp; HH projection POP '!$N$21</f>
        <v>42159.018385636904</v>
      </c>
      <c r="H38" s="29">
        <f>'[4]Population by Age'!H38-'[3]GQ &amp; HH projection POP '!$N$21</f>
        <v>42203.235961160455</v>
      </c>
      <c r="J38" s="31"/>
      <c r="K38" s="61"/>
      <c r="L38" s="30">
        <f t="shared" si="8"/>
        <v>0.60606851852681842</v>
      </c>
      <c r="M38" s="30">
        <f t="shared" si="9"/>
        <v>0.58769760369560231</v>
      </c>
      <c r="N38" s="30">
        <f t="shared" si="10"/>
        <v>0.57727550735277477</v>
      </c>
      <c r="O38" s="30">
        <f t="shared" si="11"/>
        <v>0.57406687085288699</v>
      </c>
      <c r="P38" s="30">
        <f t="shared" si="12"/>
        <v>0.57992687282774613</v>
      </c>
      <c r="Q38" s="30">
        <f t="shared" si="13"/>
        <v>0.58276569102244724</v>
      </c>
      <c r="R38" s="30">
        <f t="shared" si="14"/>
        <v>0.58693047717349911</v>
      </c>
    </row>
    <row r="39" spans="1:18" s="13" customFormat="1" x14ac:dyDescent="0.3">
      <c r="A39" s="28" t="s">
        <v>24</v>
      </c>
      <c r="B39" s="29">
        <f>'[4]Population by Age'!B39-'[3]GQ &amp; HH projection POP '!$N$21</f>
        <v>37138.805779216229</v>
      </c>
      <c r="C39" s="29">
        <f>'[4]Population by Age'!C39-'[3]GQ &amp; HH projection POP '!$N$21</f>
        <v>38390.006823047195</v>
      </c>
      <c r="D39" s="29">
        <f>'[4]Population by Age'!D39-'[3]GQ &amp; HH projection POP '!$N$21</f>
        <v>40842.569735005018</v>
      </c>
      <c r="E39" s="29">
        <f>'[4]Population by Age'!E39-'[3]GQ &amp; HH projection POP '!$N$21</f>
        <v>44016.469957051275</v>
      </c>
      <c r="F39" s="29">
        <f>'[4]Population by Age'!F39-'[3]GQ &amp; HH projection POP '!$N$21</f>
        <v>47677.587827589668</v>
      </c>
      <c r="G39" s="29">
        <f>'[4]Population by Age'!G39-'[3]GQ &amp; HH projection POP '!$N$21</f>
        <v>51941.969114675332</v>
      </c>
      <c r="H39" s="29">
        <f>'[4]Population by Age'!H39-'[3]GQ &amp; HH projection POP '!$N$21</f>
        <v>56178.463955111933</v>
      </c>
      <c r="J39" s="31"/>
      <c r="K39" s="61"/>
      <c r="L39" s="30">
        <f t="shared" si="8"/>
        <v>0.61780626441787656</v>
      </c>
      <c r="M39" s="30">
        <f t="shared" si="9"/>
        <v>0.60233791202709963</v>
      </c>
      <c r="N39" s="30">
        <f t="shared" si="10"/>
        <v>0.58491084730841958</v>
      </c>
      <c r="O39" s="30">
        <f t="shared" si="11"/>
        <v>0.57727275055477845</v>
      </c>
      <c r="P39" s="30">
        <f t="shared" si="12"/>
        <v>0.57934975183899007</v>
      </c>
      <c r="Q39" s="30">
        <f t="shared" si="13"/>
        <v>0.58922520067014539</v>
      </c>
      <c r="R39" s="30">
        <f t="shared" si="14"/>
        <v>0.59756694842266889</v>
      </c>
    </row>
    <row r="40" spans="1:18" s="19" customFormat="1" x14ac:dyDescent="0.3">
      <c r="A40" s="32" t="s">
        <v>86</v>
      </c>
      <c r="B40" s="33">
        <f t="shared" ref="B40:H40" si="15">SUM(B25:B39)</f>
        <v>1471405.4584483812</v>
      </c>
      <c r="C40" s="33">
        <f t="shared" si="15"/>
        <v>1523402.3139113518</v>
      </c>
      <c r="D40" s="33">
        <f t="shared" si="15"/>
        <v>1574059.0123257095</v>
      </c>
      <c r="E40" s="33">
        <f t="shared" si="15"/>
        <v>1662136.4788869068</v>
      </c>
      <c r="F40" s="33">
        <f t="shared" si="15"/>
        <v>1740368.8990540032</v>
      </c>
      <c r="G40" s="33">
        <f t="shared" si="15"/>
        <v>1816086.2987624097</v>
      </c>
      <c r="H40" s="33">
        <f t="shared" si="15"/>
        <v>1881964.3612043406</v>
      </c>
      <c r="J40" s="58"/>
      <c r="K40" s="62"/>
      <c r="L40" s="34">
        <f t="shared" si="8"/>
        <v>0.61859626945387713</v>
      </c>
      <c r="M40" s="34">
        <f t="shared" si="9"/>
        <v>0.60580147839806497</v>
      </c>
      <c r="N40" s="34">
        <f t="shared" si="10"/>
        <v>0.59708147061862737</v>
      </c>
      <c r="O40" s="34">
        <f t="shared" si="11"/>
        <v>0.59650555360892377</v>
      </c>
      <c r="P40" s="34">
        <f t="shared" si="12"/>
        <v>0.59931565051532054</v>
      </c>
      <c r="Q40" s="34">
        <f t="shared" si="13"/>
        <v>0.60434760141389665</v>
      </c>
      <c r="R40" s="34">
        <f t="shared" si="14"/>
        <v>0.60588425884958386</v>
      </c>
    </row>
    <row r="41" spans="1:18" x14ac:dyDescent="0.3">
      <c r="A41" s="11"/>
      <c r="B41" s="2"/>
      <c r="C41" s="2"/>
      <c r="D41" s="2"/>
      <c r="E41" s="2"/>
      <c r="F41" s="2"/>
      <c r="G41" s="2"/>
      <c r="H41" s="2"/>
      <c r="I41" s="2"/>
    </row>
    <row r="42" spans="1:18" s="9" customFormat="1" ht="26.25" customHeight="1" x14ac:dyDescent="0.3">
      <c r="A42" s="90" t="s">
        <v>96</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L43" s="93" t="s">
        <v>94</v>
      </c>
      <c r="M43" s="93"/>
      <c r="N43" s="93"/>
      <c r="O43" s="93"/>
      <c r="P43" s="93"/>
      <c r="Q43" s="93"/>
      <c r="R43" s="93"/>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f>'[4]Population by Age'!B45-'[3]GQ &amp; HH projection POP '!$N$39</f>
        <v>31188.890257265142</v>
      </c>
      <c r="C45" s="29">
        <f>'[4]Population by Age'!C45-'[3]GQ &amp; HH projection POP '!$N$39</f>
        <v>41073.544301009242</v>
      </c>
      <c r="D45" s="29">
        <f>'[4]Population by Age'!D45-'[3]GQ &amp; HH projection POP '!$N$39</f>
        <v>51504.759308558663</v>
      </c>
      <c r="E45" s="29">
        <f>'[4]Population by Age'!E45-'[3]GQ &amp; HH projection POP '!$N$39</f>
        <v>61937.721092614869</v>
      </c>
      <c r="F45" s="29">
        <f>'[4]Population by Age'!F45-'[3]GQ &amp; HH projection POP '!$N$39</f>
        <v>70674.244634704635</v>
      </c>
      <c r="G45" s="29">
        <f>'[4]Population by Age'!G45-'[3]GQ &amp; HH projection POP '!$N$39</f>
        <v>77730.785417652514</v>
      </c>
      <c r="H45" s="29">
        <f>'[4]Population by Age'!H45-'[3]GQ &amp; HH projection POP '!$N$39</f>
        <v>85039.98490905753</v>
      </c>
      <c r="J45" s="29"/>
      <c r="K45" s="30"/>
      <c r="L45" s="30">
        <f t="shared" ref="L45:L60" si="16">B45/(B45+B25+B5)</f>
        <v>0.14759290666281055</v>
      </c>
      <c r="M45" s="30">
        <f t="shared" ref="M45:M60" si="17">C45/(C45+C25+C5)</f>
        <v>0.16819977600282249</v>
      </c>
      <c r="N45" s="30">
        <f t="shared" ref="N45:N60" si="18">D45/(D45+D25+D5)</f>
        <v>0.18753075514590969</v>
      </c>
      <c r="O45" s="30">
        <f t="shared" ref="O45:O60" si="19">E45/(E45+E25+E5)</f>
        <v>0.20109192678288118</v>
      </c>
      <c r="P45" s="30">
        <f t="shared" ref="P45:P60" si="20">F45/(F45+F25+F5)</f>
        <v>0.20907065623803295</v>
      </c>
      <c r="Q45" s="30">
        <f t="shared" ref="Q45:Q60" si="21">G45/(G45+G25+G5)</f>
        <v>0.21214097125264392</v>
      </c>
      <c r="R45" s="30">
        <f t="shared" ref="R45:R60" si="22">H45/(H45+H25+H5)</f>
        <v>0.21540889425371212</v>
      </c>
    </row>
    <row r="46" spans="1:18" s="13" customFormat="1" x14ac:dyDescent="0.3">
      <c r="A46" s="28" t="s">
        <v>19</v>
      </c>
      <c r="B46" s="29">
        <f>'[4]Population by Age'!B46-'[3]GQ &amp; HH projection POP '!$N$39</f>
        <v>25870.113143279337</v>
      </c>
      <c r="C46" s="29">
        <f>'[4]Population by Age'!C46-'[3]GQ &amp; HH projection POP '!$N$39</f>
        <v>29597.686123036088</v>
      </c>
      <c r="D46" s="29">
        <f>'[4]Population by Age'!D46-'[3]GQ &amp; HH projection POP '!$N$39</f>
        <v>33063.752901610227</v>
      </c>
      <c r="E46" s="29">
        <f>'[4]Population by Age'!E46-'[3]GQ &amp; HH projection POP '!$N$39</f>
        <v>35035.337701610464</v>
      </c>
      <c r="F46" s="29">
        <f>'[4]Population by Age'!F46-'[3]GQ &amp; HH projection POP '!$N$39</f>
        <v>35695.855916495333</v>
      </c>
      <c r="G46" s="29">
        <f>'[4]Population by Age'!G46-'[3]GQ &amp; HH projection POP '!$N$39</f>
        <v>35758.85127243607</v>
      </c>
      <c r="H46" s="29">
        <f>'[4]Population by Age'!H46-'[3]GQ &amp; HH projection POP '!$N$39</f>
        <v>36262.594789356197</v>
      </c>
      <c r="J46" s="29"/>
      <c r="K46" s="30"/>
      <c r="L46" s="30">
        <f t="shared" si="16"/>
        <v>0.16560263953756504</v>
      </c>
      <c r="M46" s="30">
        <f t="shared" si="17"/>
        <v>0.17779057590050207</v>
      </c>
      <c r="N46" s="30">
        <f t="shared" si="18"/>
        <v>0.1881444490691164</v>
      </c>
      <c r="O46" s="30">
        <f t="shared" si="19"/>
        <v>0.18825980355618974</v>
      </c>
      <c r="P46" s="30">
        <f t="shared" si="20"/>
        <v>0.18286343032450672</v>
      </c>
      <c r="Q46" s="30">
        <f t="shared" si="21"/>
        <v>0.17556646686879751</v>
      </c>
      <c r="R46" s="30">
        <f t="shared" si="22"/>
        <v>0.17092984076925277</v>
      </c>
    </row>
    <row r="47" spans="1:18" x14ac:dyDescent="0.3">
      <c r="A47" s="28" t="s">
        <v>44</v>
      </c>
      <c r="B47" s="29">
        <f>'[4]Population by Age'!B47-'[3]GQ &amp; HH projection POP '!$N$39</f>
        <v>5025.7534203436089</v>
      </c>
      <c r="C47" s="29">
        <f>'[4]Population by Age'!C47-'[3]GQ &amp; HH projection POP '!$N$39</f>
        <v>5477.6053720202281</v>
      </c>
      <c r="D47" s="29">
        <f>'[4]Population by Age'!D47-'[3]GQ &amp; HH projection POP '!$N$39</f>
        <v>5903.7671091791899</v>
      </c>
      <c r="E47" s="29">
        <f>'[4]Population by Age'!E47-'[3]GQ &amp; HH projection POP '!$N$39</f>
        <v>6088.7867733094508</v>
      </c>
      <c r="F47" s="29">
        <f>'[4]Population by Age'!F47-'[3]GQ &amp; HH projection POP '!$N$39</f>
        <v>6134.3258222378954</v>
      </c>
      <c r="G47" s="29">
        <f>'[4]Population by Age'!G47-'[3]GQ &amp; HH projection POP '!$N$39</f>
        <v>6084.9989599343799</v>
      </c>
      <c r="H47" s="29">
        <f>'[4]Population by Age'!H47-'[3]GQ &amp; HH projection POP '!$N$39</f>
        <v>6045.6847986912835</v>
      </c>
      <c r="J47" s="29"/>
      <c r="K47" s="30"/>
      <c r="L47" s="30">
        <f t="shared" si="16"/>
        <v>0.19093356965061961</v>
      </c>
      <c r="M47" s="30">
        <f t="shared" si="17"/>
        <v>0.2044645528936255</v>
      </c>
      <c r="N47" s="30">
        <f t="shared" si="18"/>
        <v>0.21560759291429366</v>
      </c>
      <c r="O47" s="30">
        <f t="shared" si="19"/>
        <v>0.21741784586000534</v>
      </c>
      <c r="P47" s="30">
        <f t="shared" si="20"/>
        <v>0.21455443399104249</v>
      </c>
      <c r="Q47" s="30">
        <f t="shared" si="21"/>
        <v>0.20866907718988995</v>
      </c>
      <c r="R47" s="30">
        <f t="shared" si="22"/>
        <v>0.20334616389261315</v>
      </c>
    </row>
    <row r="48" spans="1:18" s="13" customFormat="1" x14ac:dyDescent="0.3">
      <c r="A48" s="28" t="s">
        <v>20</v>
      </c>
      <c r="B48" s="29">
        <f>'[4]Population by Age'!B48-'[3]GQ &amp; HH projection POP '!$N$39</f>
        <v>167453.45394164682</v>
      </c>
      <c r="C48" s="29">
        <f>'[4]Population by Age'!C48-'[3]GQ &amp; HH projection POP '!$N$39</f>
        <v>193910.46328044147</v>
      </c>
      <c r="D48" s="29">
        <f>'[4]Population by Age'!D48-'[3]GQ &amp; HH projection POP '!$N$39</f>
        <v>213628.74244051767</v>
      </c>
      <c r="E48" s="29">
        <f>'[4]Population by Age'!E48-'[3]GQ &amp; HH projection POP '!$N$39</f>
        <v>225956.01687368637</v>
      </c>
      <c r="F48" s="29">
        <f>'[4]Population by Age'!F48-'[3]GQ &amp; HH projection POP '!$N$39</f>
        <v>229450.56492865359</v>
      </c>
      <c r="G48" s="29">
        <f>'[4]Population by Age'!G48-'[3]GQ &amp; HH projection POP '!$N$39</f>
        <v>231103.32249564119</v>
      </c>
      <c r="H48" s="29">
        <f>'[4]Population by Age'!H48-'[3]GQ &amp; HH projection POP '!$N$39</f>
        <v>238966.5415706705</v>
      </c>
      <c r="J48" s="29"/>
      <c r="K48" s="30"/>
      <c r="L48" s="30">
        <f t="shared" si="16"/>
        <v>0.12678270365383079</v>
      </c>
      <c r="M48" s="30">
        <f t="shared" si="17"/>
        <v>0.1397963965479157</v>
      </c>
      <c r="N48" s="30">
        <f t="shared" si="18"/>
        <v>0.14793814195062163</v>
      </c>
      <c r="O48" s="30">
        <f t="shared" si="19"/>
        <v>0.1489708572592508</v>
      </c>
      <c r="P48" s="30">
        <f t="shared" si="20"/>
        <v>0.14600996067932079</v>
      </c>
      <c r="Q48" s="30">
        <f t="shared" si="21"/>
        <v>0.14290822560477953</v>
      </c>
      <c r="R48" s="30">
        <f t="shared" si="22"/>
        <v>0.14371204347487274</v>
      </c>
    </row>
    <row r="49" spans="1:18" x14ac:dyDescent="0.3">
      <c r="A49" s="28" t="s">
        <v>45</v>
      </c>
      <c r="B49" s="29">
        <f>'[4]Population by Age'!B49-'[3]GQ &amp; HH projection POP '!$N$39</f>
        <v>5268.0272290443136</v>
      </c>
      <c r="C49" s="29">
        <f>'[4]Population by Age'!C49-'[3]GQ &amp; HH projection POP '!$N$39</f>
        <v>5840.6466119667039</v>
      </c>
      <c r="D49" s="29">
        <f>'[4]Population by Age'!D49-'[3]GQ &amp; HH projection POP '!$N$39</f>
        <v>6275.1961567952985</v>
      </c>
      <c r="E49" s="29">
        <f>'[4]Population by Age'!E49-'[3]GQ &amp; HH projection POP '!$N$39</f>
        <v>6432.5646476136571</v>
      </c>
      <c r="F49" s="29">
        <f>'[4]Population by Age'!F49-'[3]GQ &amp; HH projection POP '!$N$39</f>
        <v>6409.3183009183094</v>
      </c>
      <c r="G49" s="29">
        <f>'[4]Population by Age'!G49-'[3]GQ &amp; HH projection POP '!$N$39</f>
        <v>6215.9814231031341</v>
      </c>
      <c r="H49" s="29">
        <f>'[4]Population by Age'!H49-'[3]GQ &amp; HH projection POP '!$N$39</f>
        <v>5977.2033831853487</v>
      </c>
      <c r="J49" s="29"/>
      <c r="K49" s="30"/>
      <c r="L49" s="30">
        <f t="shared" si="16"/>
        <v>0.20723131383676144</v>
      </c>
      <c r="M49" s="30">
        <f t="shared" si="17"/>
        <v>0.23052757388564499</v>
      </c>
      <c r="N49" s="30">
        <f t="shared" si="18"/>
        <v>0.24967955106017184</v>
      </c>
      <c r="O49" s="30">
        <f t="shared" si="19"/>
        <v>0.2573025859045463</v>
      </c>
      <c r="P49" s="30">
        <f t="shared" si="20"/>
        <v>0.25845067546749095</v>
      </c>
      <c r="Q49" s="30">
        <f t="shared" si="21"/>
        <v>0.25308340145365155</v>
      </c>
      <c r="R49" s="30">
        <f t="shared" si="22"/>
        <v>0.2457327488564936</v>
      </c>
    </row>
    <row r="50" spans="1:18" x14ac:dyDescent="0.3">
      <c r="A50" s="28" t="s">
        <v>46</v>
      </c>
      <c r="B50" s="29">
        <f>'[4]Population by Age'!B50-'[3]GQ &amp; HH projection POP '!$N$39</f>
        <v>11518.269740320073</v>
      </c>
      <c r="C50" s="29">
        <f>'[4]Population by Age'!C50-'[3]GQ &amp; HH projection POP '!$N$39</f>
        <v>13161.189408302933</v>
      </c>
      <c r="D50" s="29">
        <f>'[4]Population by Age'!D50-'[3]GQ &amp; HH projection POP '!$N$39</f>
        <v>14210.331721780642</v>
      </c>
      <c r="E50" s="29">
        <f>'[4]Population by Age'!E50-'[3]GQ &amp; HH projection POP '!$N$39</f>
        <v>14657.500288361678</v>
      </c>
      <c r="F50" s="29">
        <f>'[4]Population by Age'!F50-'[3]GQ &amp; HH projection POP '!$N$39</f>
        <v>14434.076488026163</v>
      </c>
      <c r="G50" s="29">
        <f>'[4]Population by Age'!G50-'[3]GQ &amp; HH projection POP '!$N$39</f>
        <v>13974.471910577578</v>
      </c>
      <c r="H50" s="29">
        <f>'[4]Population by Age'!H50-'[3]GQ &amp; HH projection POP '!$N$39</f>
        <v>13630.718425949646</v>
      </c>
      <c r="J50" s="29"/>
      <c r="K50" s="30"/>
      <c r="L50" s="30">
        <f t="shared" si="16"/>
        <v>0.19192318154328203</v>
      </c>
      <c r="M50" s="30">
        <f t="shared" si="17"/>
        <v>0.21418069306746945</v>
      </c>
      <c r="N50" s="30">
        <f t="shared" si="18"/>
        <v>0.22689699215667894</v>
      </c>
      <c r="O50" s="30">
        <f t="shared" si="19"/>
        <v>0.22795490339598254</v>
      </c>
      <c r="P50" s="30">
        <f t="shared" si="20"/>
        <v>0.22067079174478152</v>
      </c>
      <c r="Q50" s="30">
        <f t="shared" si="21"/>
        <v>0.21096408433715633</v>
      </c>
      <c r="R50" s="30">
        <f t="shared" si="22"/>
        <v>0.20322516737162521</v>
      </c>
    </row>
    <row r="51" spans="1:18" s="13" customFormat="1" x14ac:dyDescent="0.3">
      <c r="A51" s="28" t="s">
        <v>21</v>
      </c>
      <c r="B51" s="29">
        <f>'[4]Population by Age'!B51-'[3]GQ &amp; HH projection POP '!$N$39</f>
        <v>30394.100466030319</v>
      </c>
      <c r="C51" s="29">
        <f>'[4]Population by Age'!C51-'[3]GQ &amp; HH projection POP '!$N$39</f>
        <v>35524.48214747187</v>
      </c>
      <c r="D51" s="29">
        <f>'[4]Population by Age'!D51-'[3]GQ &amp; HH projection POP '!$N$39</f>
        <v>39785.479053336938</v>
      </c>
      <c r="E51" s="29">
        <f>'[4]Population by Age'!E51-'[3]GQ &amp; HH projection POP '!$N$39</f>
        <v>43360.682849801524</v>
      </c>
      <c r="F51" s="29">
        <f>'[4]Population by Age'!F51-'[3]GQ &amp; HH projection POP '!$N$39</f>
        <v>43747.156178680074</v>
      </c>
      <c r="G51" s="29">
        <f>'[4]Population by Age'!G51-'[3]GQ &amp; HH projection POP '!$N$39</f>
        <v>42727.741125733693</v>
      </c>
      <c r="H51" s="29">
        <f>'[4]Population by Age'!H51-'[3]GQ &amp; HH projection POP '!$N$39</f>
        <v>42758.459905400305</v>
      </c>
      <c r="J51" s="29"/>
      <c r="K51" s="30"/>
      <c r="L51" s="30">
        <f t="shared" si="16"/>
        <v>0.17280863111290071</v>
      </c>
      <c r="M51" s="30">
        <f t="shared" si="17"/>
        <v>0.18868100440556979</v>
      </c>
      <c r="N51" s="30">
        <f t="shared" si="18"/>
        <v>0.20086270745299434</v>
      </c>
      <c r="O51" s="30">
        <f t="shared" si="19"/>
        <v>0.20231370658349748</v>
      </c>
      <c r="P51" s="30">
        <f t="shared" si="20"/>
        <v>0.19600419444288661</v>
      </c>
      <c r="Q51" s="30">
        <f t="shared" si="21"/>
        <v>0.18709137497639319</v>
      </c>
      <c r="R51" s="30">
        <f t="shared" si="22"/>
        <v>0.18306956511020669</v>
      </c>
    </row>
    <row r="52" spans="1:18" x14ac:dyDescent="0.3">
      <c r="A52" s="28" t="s">
        <v>47</v>
      </c>
      <c r="B52" s="29">
        <f>'[4]Population by Age'!B52-'[3]GQ &amp; HH projection POP '!$N$39</f>
        <v>8516.8700083837102</v>
      </c>
      <c r="C52" s="29">
        <f>'[4]Population by Age'!C52-'[3]GQ &amp; HH projection POP '!$N$39</f>
        <v>9472.448905756557</v>
      </c>
      <c r="D52" s="29">
        <f>'[4]Population by Age'!D52-'[3]GQ &amp; HH projection POP '!$N$39</f>
        <v>10309.258544901997</v>
      </c>
      <c r="E52" s="29">
        <f>'[4]Population by Age'!E52-'[3]GQ &amp; HH projection POP '!$N$39</f>
        <v>10586.632018666973</v>
      </c>
      <c r="F52" s="29">
        <f>'[4]Population by Age'!F52-'[3]GQ &amp; HH projection POP '!$N$39</f>
        <v>10633.925894637325</v>
      </c>
      <c r="G52" s="29">
        <f>'[4]Population by Age'!G52-'[3]GQ &amp; HH projection POP '!$N$39</f>
        <v>10539.978521362662</v>
      </c>
      <c r="H52" s="29">
        <f>'[4]Population by Age'!H52-'[3]GQ &amp; HH projection POP '!$N$39</f>
        <v>10391.986514146503</v>
      </c>
      <c r="J52" s="29"/>
      <c r="K52" s="30"/>
      <c r="L52" s="30">
        <f t="shared" si="16"/>
        <v>0.19598384629366292</v>
      </c>
      <c r="M52" s="30">
        <f t="shared" si="17"/>
        <v>0.21824410537881156</v>
      </c>
      <c r="N52" s="30">
        <f t="shared" si="18"/>
        <v>0.23582346383250977</v>
      </c>
      <c r="O52" s="30">
        <f t="shared" si="19"/>
        <v>0.24021219864464907</v>
      </c>
      <c r="P52" s="30">
        <f t="shared" si="20"/>
        <v>0.23968097673129404</v>
      </c>
      <c r="Q52" s="30">
        <f t="shared" si="21"/>
        <v>0.23608947498796387</v>
      </c>
      <c r="R52" s="30">
        <f t="shared" si="22"/>
        <v>0.231339162399468</v>
      </c>
    </row>
    <row r="53" spans="1:18" s="13" customFormat="1" x14ac:dyDescent="0.3">
      <c r="A53" s="28" t="s">
        <v>22</v>
      </c>
      <c r="B53" s="29">
        <f>'[4]Population by Age'!B53-'[3]GQ &amp; HH projection POP '!$N$39</f>
        <v>6835.9000201979416</v>
      </c>
      <c r="C53" s="29">
        <f>'[4]Population by Age'!C53-'[3]GQ &amp; HH projection POP '!$N$39</f>
        <v>8236.1719782820874</v>
      </c>
      <c r="D53" s="29">
        <f>'[4]Population by Age'!D53-'[3]GQ &amp; HH projection POP '!$N$39</f>
        <v>9621.2623535657385</v>
      </c>
      <c r="E53" s="29">
        <f>'[4]Population by Age'!E53-'[3]GQ &amp; HH projection POP '!$N$39</f>
        <v>10631.841983756542</v>
      </c>
      <c r="F53" s="29">
        <f>'[4]Population by Age'!F53-'[3]GQ &amp; HH projection POP '!$N$39</f>
        <v>11328.997919047815</v>
      </c>
      <c r="G53" s="29">
        <f>'[4]Population by Age'!G53-'[3]GQ &amp; HH projection POP '!$N$39</f>
        <v>11615.503680534097</v>
      </c>
      <c r="H53" s="29">
        <f>'[4]Population by Age'!H53-'[3]GQ &amp; HH projection POP '!$N$39</f>
        <v>11942.17200349176</v>
      </c>
      <c r="J53" s="29"/>
      <c r="K53" s="30"/>
      <c r="L53" s="30">
        <f t="shared" si="16"/>
        <v>0.16594004175744481</v>
      </c>
      <c r="M53" s="30">
        <f t="shared" si="17"/>
        <v>0.18779178207583772</v>
      </c>
      <c r="N53" s="30">
        <f t="shared" si="18"/>
        <v>0.20823440294272655</v>
      </c>
      <c r="O53" s="30">
        <f t="shared" si="19"/>
        <v>0.21794153667787022</v>
      </c>
      <c r="P53" s="30">
        <f t="shared" si="20"/>
        <v>0.22171551987490104</v>
      </c>
      <c r="Q53" s="30">
        <f t="shared" si="21"/>
        <v>0.2180250709612977</v>
      </c>
      <c r="R53" s="30">
        <f t="shared" si="22"/>
        <v>0.21534887753118312</v>
      </c>
    </row>
    <row r="54" spans="1:18" x14ac:dyDescent="0.3">
      <c r="A54" s="28" t="s">
        <v>48</v>
      </c>
      <c r="B54" s="29">
        <f>'[4]Population by Age'!B54-'[3]GQ &amp; HH projection POP '!$N$39</f>
        <v>11847.382721382288</v>
      </c>
      <c r="C54" s="29">
        <f>'[4]Population by Age'!C54-'[3]GQ &amp; HH projection POP '!$N$39</f>
        <v>13065.107088143615</v>
      </c>
      <c r="D54" s="29">
        <f>'[4]Population by Age'!D54-'[3]GQ &amp; HH projection POP '!$N$39</f>
        <v>13722.658217785562</v>
      </c>
      <c r="E54" s="29">
        <f>'[4]Population by Age'!E54-'[3]GQ &amp; HH projection POP '!$N$39</f>
        <v>13691.281084917342</v>
      </c>
      <c r="F54" s="29">
        <f>'[4]Population by Age'!F54-'[3]GQ &amp; HH projection POP '!$N$39</f>
        <v>13163.129618292447</v>
      </c>
      <c r="G54" s="29">
        <f>'[4]Population by Age'!G54-'[3]GQ &amp; HH projection POP '!$N$39</f>
        <v>12424.390903522148</v>
      </c>
      <c r="H54" s="29">
        <f>'[4]Population by Age'!H54-'[3]GQ &amp; HH projection POP '!$N$39</f>
        <v>11872.081704325754</v>
      </c>
      <c r="J54" s="29"/>
      <c r="K54" s="30"/>
      <c r="L54" s="30">
        <f t="shared" si="16"/>
        <v>0.18899868742733167</v>
      </c>
      <c r="M54" s="30">
        <f t="shared" si="17"/>
        <v>0.2085745065157027</v>
      </c>
      <c r="N54" s="30">
        <f t="shared" si="18"/>
        <v>0.21961172451085947</v>
      </c>
      <c r="O54" s="30">
        <f t="shared" si="19"/>
        <v>0.21880143645791139</v>
      </c>
      <c r="P54" s="30">
        <f t="shared" si="20"/>
        <v>0.21098816468379247</v>
      </c>
      <c r="Q54" s="30">
        <f t="shared" si="21"/>
        <v>0.20019643421024713</v>
      </c>
      <c r="R54" s="30">
        <f t="shared" si="22"/>
        <v>0.19231337703215057</v>
      </c>
    </row>
    <row r="55" spans="1:18" x14ac:dyDescent="0.3">
      <c r="A55" s="28" t="s">
        <v>49</v>
      </c>
      <c r="B55" s="29">
        <f>'[4]Population by Age'!B55-'[3]GQ &amp; HH projection POP '!$N$39</f>
        <v>6150.5852701138065</v>
      </c>
      <c r="C55" s="29">
        <f>'[4]Population by Age'!C55-'[3]GQ &amp; HH projection POP '!$N$39</f>
        <v>7455.1424754462578</v>
      </c>
      <c r="D55" s="29">
        <f>'[4]Population by Age'!D55-'[3]GQ &amp; HH projection POP '!$N$39</f>
        <v>8446.8906780586403</v>
      </c>
      <c r="E55" s="29">
        <f>'[4]Population by Age'!E55-'[3]GQ &amp; HH projection POP '!$N$39</f>
        <v>9230.6732808226843</v>
      </c>
      <c r="F55" s="29">
        <f>'[4]Population by Age'!F55-'[3]GQ &amp; HH projection POP '!$N$39</f>
        <v>9721.5932169997359</v>
      </c>
      <c r="G55" s="29">
        <f>'[4]Population by Age'!G55-'[3]GQ &amp; HH projection POP '!$N$39</f>
        <v>9969.9429885485388</v>
      </c>
      <c r="H55" s="29">
        <f>'[4]Population by Age'!H55-'[3]GQ &amp; HH projection POP '!$N$39</f>
        <v>10150.549648476455</v>
      </c>
      <c r="J55" s="29"/>
      <c r="K55" s="30"/>
      <c r="L55" s="30">
        <f t="shared" si="16"/>
        <v>0.19030865033304892</v>
      </c>
      <c r="M55" s="30">
        <f t="shared" si="17"/>
        <v>0.22060550616814398</v>
      </c>
      <c r="N55" s="30">
        <f t="shared" si="18"/>
        <v>0.24109863502379444</v>
      </c>
      <c r="O55" s="30">
        <f t="shared" si="19"/>
        <v>0.25146901901061613</v>
      </c>
      <c r="P55" s="30">
        <f t="shared" si="20"/>
        <v>0.25658765881017037</v>
      </c>
      <c r="Q55" s="30">
        <f t="shared" si="21"/>
        <v>0.25680506371348277</v>
      </c>
      <c r="R55" s="30">
        <f t="shared" si="22"/>
        <v>0.25530835677037211</v>
      </c>
    </row>
    <row r="56" spans="1:18" x14ac:dyDescent="0.3">
      <c r="A56" s="28" t="s">
        <v>50</v>
      </c>
      <c r="B56" s="29">
        <f>'[4]Population by Age'!B56-'[3]GQ &amp; HH projection POP '!$N$39</f>
        <v>5895.2318376363382</v>
      </c>
      <c r="C56" s="29">
        <f>'[4]Population by Age'!C56-'[3]GQ &amp; HH projection POP '!$N$39</f>
        <v>7014.7884328124501</v>
      </c>
      <c r="D56" s="29">
        <f>'[4]Population by Age'!D56-'[3]GQ &amp; HH projection POP '!$N$39</f>
        <v>7735.8421643889806</v>
      </c>
      <c r="E56" s="29">
        <f>'[4]Population by Age'!E56-'[3]GQ &amp; HH projection POP '!$N$39</f>
        <v>8219.8292220324747</v>
      </c>
      <c r="F56" s="29">
        <f>'[4]Population by Age'!F56-'[3]GQ &amp; HH projection POP '!$N$39</f>
        <v>8260.118317643306</v>
      </c>
      <c r="G56" s="29">
        <f>'[4]Population by Age'!G56-'[3]GQ &amp; HH projection POP '!$N$39</f>
        <v>8184.7588364884014</v>
      </c>
      <c r="H56" s="29">
        <f>'[4]Population by Age'!H56-'[3]GQ &amp; HH projection POP '!$N$39</f>
        <v>8142.6327794669614</v>
      </c>
      <c r="J56" s="29"/>
      <c r="K56" s="30"/>
      <c r="L56" s="30">
        <f t="shared" si="16"/>
        <v>0.17984782444968847</v>
      </c>
      <c r="M56" s="30">
        <f t="shared" si="17"/>
        <v>0.20493100884640525</v>
      </c>
      <c r="N56" s="30">
        <f t="shared" si="18"/>
        <v>0.222383779807652</v>
      </c>
      <c r="O56" s="30">
        <f t="shared" si="19"/>
        <v>0.23153144110282459</v>
      </c>
      <c r="P56" s="30">
        <f t="shared" si="20"/>
        <v>0.22923759658211387</v>
      </c>
      <c r="Q56" s="30">
        <f t="shared" si="21"/>
        <v>0.22440596705750562</v>
      </c>
      <c r="R56" s="30">
        <f t="shared" si="22"/>
        <v>0.22058984042117843</v>
      </c>
    </row>
    <row r="57" spans="1:18" s="13" customFormat="1" x14ac:dyDescent="0.3">
      <c r="A57" s="28" t="s">
        <v>23</v>
      </c>
      <c r="B57" s="29">
        <f>'[4]Population by Age'!B57-'[3]GQ &amp; HH projection POP '!$N$39</f>
        <v>9301.4310750451768</v>
      </c>
      <c r="C57" s="29">
        <f>'[4]Population by Age'!C57-'[3]GQ &amp; HH projection POP '!$N$39</f>
        <v>10845.787508461657</v>
      </c>
      <c r="D57" s="29">
        <f>'[4]Population by Age'!D57-'[3]GQ &amp; HH projection POP '!$N$39</f>
        <v>12241.605438083901</v>
      </c>
      <c r="E57" s="29">
        <f>'[4]Population by Age'!E57-'[3]GQ &amp; HH projection POP '!$N$39</f>
        <v>13471.531481885955</v>
      </c>
      <c r="F57" s="29">
        <f>'[4]Population by Age'!F57-'[3]GQ &amp; HH projection POP '!$N$39</f>
        <v>14297.862898679134</v>
      </c>
      <c r="G57" s="29">
        <f>'[4]Population by Age'!G57-'[3]GQ &amp; HH projection POP '!$N$39</f>
        <v>14903.468429168141</v>
      </c>
      <c r="H57" s="29">
        <f>'[4]Population by Age'!H57-'[3]GQ &amp; HH projection POP '!$N$39</f>
        <v>15390.004924686025</v>
      </c>
      <c r="J57" s="29"/>
      <c r="K57" s="30"/>
      <c r="L57" s="30">
        <f t="shared" si="16"/>
        <v>0.16694961903731878</v>
      </c>
      <c r="M57" s="30">
        <f t="shared" si="17"/>
        <v>0.18220558603043524</v>
      </c>
      <c r="N57" s="30">
        <f t="shared" si="18"/>
        <v>0.19414170863664895</v>
      </c>
      <c r="O57" s="30">
        <f t="shared" si="19"/>
        <v>0.20144647369509752</v>
      </c>
      <c r="P57" s="30">
        <f t="shared" si="20"/>
        <v>0.203195664018747</v>
      </c>
      <c r="Q57" s="30">
        <f t="shared" si="21"/>
        <v>0.20225095577527061</v>
      </c>
      <c r="R57" s="30">
        <f t="shared" si="22"/>
        <v>0.19984683510610482</v>
      </c>
    </row>
    <row r="58" spans="1:18" x14ac:dyDescent="0.3">
      <c r="A58" s="28" t="s">
        <v>51</v>
      </c>
      <c r="B58" s="29">
        <f>'[4]Population by Age'!B58-'[3]GQ &amp; HH projection POP '!$N$39</f>
        <v>13322.135618947919</v>
      </c>
      <c r="C58" s="29">
        <f>'[4]Population by Age'!C58-'[3]GQ &amp; HH projection POP '!$N$39</f>
        <v>14863.916941896634</v>
      </c>
      <c r="D58" s="29">
        <f>'[4]Population by Age'!D58-'[3]GQ &amp; HH projection POP '!$N$39</f>
        <v>15915.508412341351</v>
      </c>
      <c r="E58" s="29">
        <f>'[4]Population by Age'!E58-'[3]GQ &amp; HH projection POP '!$N$39</f>
        <v>16210.245281169424</v>
      </c>
      <c r="F58" s="29">
        <f>'[4]Population by Age'!F58-'[3]GQ &amp; HH projection POP '!$N$39</f>
        <v>15953.532183164683</v>
      </c>
      <c r="G58" s="29">
        <f>'[4]Population by Age'!G58-'[3]GQ &amp; HH projection POP '!$N$39</f>
        <v>15539.245511630452</v>
      </c>
      <c r="H58" s="29">
        <f>'[4]Population by Age'!H58-'[3]GQ &amp; HH projection POP '!$N$39</f>
        <v>14985.265038473161</v>
      </c>
      <c r="J58" s="31"/>
      <c r="K58" s="61"/>
      <c r="L58" s="30">
        <f t="shared" si="16"/>
        <v>0.17908503318924479</v>
      </c>
      <c r="M58" s="30">
        <f t="shared" si="17"/>
        <v>0.20116549069410378</v>
      </c>
      <c r="N58" s="30">
        <f t="shared" si="18"/>
        <v>0.21652279997743493</v>
      </c>
      <c r="O58" s="30">
        <f t="shared" si="19"/>
        <v>0.22151801471985338</v>
      </c>
      <c r="P58" s="30">
        <f t="shared" si="20"/>
        <v>0.21919612243638092</v>
      </c>
      <c r="Q58" s="30">
        <f t="shared" si="21"/>
        <v>0.21479957302891023</v>
      </c>
      <c r="R58" s="30">
        <f t="shared" si="22"/>
        <v>0.20840365813883821</v>
      </c>
    </row>
    <row r="59" spans="1:18" s="13" customFormat="1" x14ac:dyDescent="0.3">
      <c r="A59" s="28" t="s">
        <v>24</v>
      </c>
      <c r="B59" s="29">
        <f>'[4]Population by Age'!B59-'[3]GQ &amp; HH projection POP '!$N$39</f>
        <v>7944.943919628131</v>
      </c>
      <c r="C59" s="29">
        <f>'[4]Population by Age'!C59-'[3]GQ &amp; HH projection POP '!$N$39</f>
        <v>9305.645206743231</v>
      </c>
      <c r="D59" s="29">
        <f>'[4]Population by Age'!D59-'[3]GQ &amp; HH projection POP '!$N$39</f>
        <v>11038.195057817276</v>
      </c>
      <c r="E59" s="29">
        <f>'[4]Population by Age'!E59-'[3]GQ &amp; HH projection POP '!$N$39</f>
        <v>12295.930155843414</v>
      </c>
      <c r="F59" s="29">
        <f>'[4]Population by Age'!F59-'[3]GQ &amp; HH projection POP '!$N$39</f>
        <v>13041.512056896092</v>
      </c>
      <c r="G59" s="29">
        <f>'[4]Population by Age'!G59-'[3]GQ &amp; HH projection POP '!$N$39</f>
        <v>13626.922213637232</v>
      </c>
      <c r="H59" s="29">
        <f>'[4]Population by Age'!H59-'[3]GQ &amp; HH projection POP '!$N$39</f>
        <v>14362.515824021793</v>
      </c>
      <c r="J59" s="31"/>
      <c r="K59" s="61"/>
      <c r="L59" s="30">
        <f t="shared" si="16"/>
        <v>0.13216461921728934</v>
      </c>
      <c r="M59" s="30">
        <f t="shared" si="17"/>
        <v>0.14600525938249362</v>
      </c>
      <c r="N59" s="30">
        <f t="shared" si="18"/>
        <v>0.15807918223348097</v>
      </c>
      <c r="O59" s="30">
        <f t="shared" si="19"/>
        <v>0.16126021529257331</v>
      </c>
      <c r="P59" s="30">
        <f t="shared" si="20"/>
        <v>0.15847271470801502</v>
      </c>
      <c r="Q59" s="30">
        <f t="shared" si="21"/>
        <v>0.15458262581690049</v>
      </c>
      <c r="R59" s="30">
        <f t="shared" si="22"/>
        <v>0.1527732185680743</v>
      </c>
    </row>
    <row r="60" spans="1:18" s="19" customFormat="1" x14ac:dyDescent="0.3">
      <c r="A60" s="32" t="s">
        <v>86</v>
      </c>
      <c r="B60" s="33">
        <f t="shared" ref="B60:H60" si="23">SUM(B45:B59)</f>
        <v>346533.08866926492</v>
      </c>
      <c r="C60" s="33">
        <f t="shared" si="23"/>
        <v>404844.62578179111</v>
      </c>
      <c r="D60" s="33">
        <f t="shared" si="23"/>
        <v>453403.24955872202</v>
      </c>
      <c r="E60" s="33">
        <f t="shared" si="23"/>
        <v>487806.57473609276</v>
      </c>
      <c r="F60" s="33">
        <f t="shared" si="23"/>
        <v>502946.21437507658</v>
      </c>
      <c r="G60" s="33">
        <f t="shared" si="23"/>
        <v>510400.36368997017</v>
      </c>
      <c r="H60" s="33">
        <f t="shared" si="23"/>
        <v>525918.39621939929</v>
      </c>
      <c r="J60" s="58"/>
      <c r="K60" s="62"/>
      <c r="L60" s="34">
        <f t="shared" si="16"/>
        <v>0.14568661184605564</v>
      </c>
      <c r="M60" s="34">
        <f t="shared" si="17"/>
        <v>0.16099192615142116</v>
      </c>
      <c r="N60" s="34">
        <f t="shared" si="18"/>
        <v>0.17198763001254511</v>
      </c>
      <c r="O60" s="34">
        <f t="shared" si="19"/>
        <v>0.17506344070607716</v>
      </c>
      <c r="P60" s="34">
        <f t="shared" si="20"/>
        <v>0.17319519890654161</v>
      </c>
      <c r="Q60" s="34">
        <f t="shared" si="21"/>
        <v>0.16984833582358758</v>
      </c>
      <c r="R60" s="34">
        <f t="shared" si="22"/>
        <v>0.16931546860156216</v>
      </c>
    </row>
    <row r="63" spans="1:18" x14ac:dyDescent="0.3">
      <c r="B63" s="50" t="s">
        <v>144</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71</v>
      </c>
      <c r="D1" s="88"/>
      <c r="E1" s="88"/>
      <c r="F1" s="88"/>
      <c r="G1" s="88"/>
      <c r="H1" s="88"/>
      <c r="I1" s="88"/>
      <c r="J1" s="88"/>
      <c r="K1" s="88"/>
      <c r="L1" s="88"/>
      <c r="M1" s="88"/>
      <c r="N1" s="88"/>
      <c r="O1" s="88"/>
      <c r="P1" s="88"/>
      <c r="Q1" s="88"/>
      <c r="R1" s="88"/>
    </row>
    <row r="2" spans="1:18" s="9" customFormat="1" ht="26.25" customHeight="1" x14ac:dyDescent="0.3">
      <c r="A2" s="90" t="s">
        <v>13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76</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2.8267036564285415</v>
      </c>
      <c r="M5" s="44">
        <f>'Group Quarters and Households'!C25/'Households and Housing Units'!C5</f>
        <v>2.8388703169083396</v>
      </c>
      <c r="N5" s="44">
        <f>'Group Quarters and Households'!D25/'Households and Housing Units'!D5</f>
        <v>2.8389010531695473</v>
      </c>
      <c r="O5" s="44">
        <f>'Group Quarters and Households'!E25/'Households and Housing Units'!E5</f>
        <v>2.8389912899536305</v>
      </c>
      <c r="P5" s="44">
        <f>'Group Quarters and Households'!F25/'Households and Housing Units'!F5</f>
        <v>2.839105527757638</v>
      </c>
      <c r="Q5" s="44">
        <f>'Group Quarters and Households'!G25/'Households and Housing Units'!G5</f>
        <v>2.8391197614809247</v>
      </c>
      <c r="R5" s="44">
        <f>'Group Quarters and Households'!H25/'Households and Housing Units'!H5</f>
        <v>2.8391030284506265</v>
      </c>
    </row>
    <row r="6" spans="1:18" s="13" customFormat="1" x14ac:dyDescent="0.3">
      <c r="A6" s="36" t="s">
        <v>19</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2.6720073214594282</v>
      </c>
      <c r="M6" s="44">
        <f>'Group Quarters and Households'!C26/'Households and Housing Units'!C6</f>
        <v>2.678966049382717</v>
      </c>
      <c r="N6" s="44">
        <f>'Group Quarters and Households'!D26/'Households and Housing Units'!D6</f>
        <v>2.678744041971949</v>
      </c>
      <c r="O6" s="44">
        <f>'Group Quarters and Households'!E26/'Households and Housing Units'!E6</f>
        <v>2.678856451499652</v>
      </c>
      <c r="P6" s="44">
        <f>'Group Quarters and Households'!F26/'Households and Housing Units'!F6</f>
        <v>2.6790885903757866</v>
      </c>
      <c r="Q6" s="44">
        <f>'Group Quarters and Households'!G26/'Households and Housing Units'!G6</f>
        <v>2.6793246501699741</v>
      </c>
      <c r="R6" s="44">
        <f>'Group Quarters and Households'!H26/'Households and Housing Units'!H6</f>
        <v>2.6794657680533467</v>
      </c>
    </row>
    <row r="7" spans="1:18" x14ac:dyDescent="0.3">
      <c r="A7" s="36" t="s">
        <v>44</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2.4098315804186026</v>
      </c>
      <c r="M7" s="44">
        <f>'Group Quarters and Households'!C27/'Households and Housing Units'!C7</f>
        <v>2.4075148661189982</v>
      </c>
      <c r="N7" s="44">
        <f>'Group Quarters and Households'!D27/'Households and Housing Units'!D7</f>
        <v>2.4061022945517037</v>
      </c>
      <c r="O7" s="44">
        <f>'Group Quarters and Households'!E27/'Households and Housing Units'!E7</f>
        <v>2.4059428948671404</v>
      </c>
      <c r="P7" s="44">
        <f>'Group Quarters and Households'!F27/'Households and Housing Units'!F7</f>
        <v>2.4062532793522267</v>
      </c>
      <c r="Q7" s="44">
        <f>'Group Quarters and Households'!G27/'Households and Housing Units'!G7</f>
        <v>2.406856988358038</v>
      </c>
      <c r="R7" s="44">
        <f>'Group Quarters and Households'!H27/'Households and Housing Units'!H7</f>
        <v>2.4074395350290616</v>
      </c>
    </row>
    <row r="8" spans="1:18" s="13" customFormat="1" x14ac:dyDescent="0.3">
      <c r="A8" s="36" t="s">
        <v>20</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2.4593444084303804</v>
      </c>
      <c r="M8" s="44">
        <f>'Group Quarters and Households'!C28/'Households and Housing Units'!C8</f>
        <v>2.4598172011603889</v>
      </c>
      <c r="N8" s="44">
        <f>'Group Quarters and Households'!D28/'Households and Housing Units'!D8</f>
        <v>2.4597844080302789</v>
      </c>
      <c r="O8" s="44">
        <f>'Group Quarters and Households'!E28/'Households and Housing Units'!E8</f>
        <v>2.4595778685490863</v>
      </c>
      <c r="P8" s="44">
        <f>'Group Quarters and Households'!F28/'Households and Housing Units'!F8</f>
        <v>2.4594966612970279</v>
      </c>
      <c r="Q8" s="44">
        <f>'Group Quarters and Households'!G28/'Households and Housing Units'!G8</f>
        <v>2.4593167464658481</v>
      </c>
      <c r="R8" s="44">
        <f>'Group Quarters and Households'!H28/'Households and Housing Units'!H8</f>
        <v>2.4592690302974485</v>
      </c>
    </row>
    <row r="9" spans="1:18" x14ac:dyDescent="0.3">
      <c r="A9" s="36" t="s">
        <v>45</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2.4137642571739923</v>
      </c>
      <c r="M9" s="44">
        <f>'Group Quarters and Households'!C29/'Households and Housing Units'!C9</f>
        <v>2.4080717896497812</v>
      </c>
      <c r="N9" s="44">
        <f>'Group Quarters and Households'!D29/'Households and Housing Units'!D9</f>
        <v>2.4072630692017438</v>
      </c>
      <c r="O9" s="44">
        <f>'Group Quarters and Households'!E29/'Households and Housing Units'!E9</f>
        <v>2.4068950158286095</v>
      </c>
      <c r="P9" s="44">
        <f>'Group Quarters and Households'!F29/'Households and Housing Units'!F9</f>
        <v>2.4067829730431241</v>
      </c>
      <c r="Q9" s="44">
        <f>'Group Quarters and Households'!G29/'Households and Housing Units'!G9</f>
        <v>2.406935103796521</v>
      </c>
      <c r="R9" s="44">
        <f>'Group Quarters and Households'!H29/'Households and Housing Units'!H9</f>
        <v>2.4072719040072443</v>
      </c>
    </row>
    <row r="10" spans="1:18" x14ac:dyDescent="0.3">
      <c r="A10" s="36" t="s">
        <v>46</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2.5208970403769877</v>
      </c>
      <c r="M10" s="44">
        <f>'Group Quarters and Households'!C30/'Households and Housing Units'!C10</f>
        <v>2.5253072866571595</v>
      </c>
      <c r="N10" s="44">
        <f>'Group Quarters and Households'!D30/'Households and Housing Units'!D10</f>
        <v>2.5267295198085091</v>
      </c>
      <c r="O10" s="44">
        <f>'Group Quarters and Households'!E30/'Households and Housing Units'!E10</f>
        <v>2.5274815438106275</v>
      </c>
      <c r="P10" s="44">
        <f>'Group Quarters and Households'!F30/'Households and Housing Units'!F10</f>
        <v>2.5271626686656679</v>
      </c>
      <c r="Q10" s="44">
        <f>'Group Quarters and Households'!G30/'Households and Housing Units'!G10</f>
        <v>2.5263375196716771</v>
      </c>
      <c r="R10" s="44">
        <f>'Group Quarters and Households'!H30/'Households and Housing Units'!H10</f>
        <v>2.5256472094760434</v>
      </c>
    </row>
    <row r="11" spans="1:18" s="13" customFormat="1" x14ac:dyDescent="0.3">
      <c r="A11" s="36" t="s">
        <v>21</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2.657212809692584</v>
      </c>
      <c r="M11" s="44">
        <f>'Group Quarters and Households'!C31/'Households and Housing Units'!C11</f>
        <v>2.6598146917602676</v>
      </c>
      <c r="N11" s="44">
        <f>'Group Quarters and Households'!D31/'Households and Housing Units'!D11</f>
        <v>2.6599593234853347</v>
      </c>
      <c r="O11" s="44">
        <f>'Group Quarters and Households'!E31/'Households and Housing Units'!E11</f>
        <v>2.659949827177261</v>
      </c>
      <c r="P11" s="44">
        <f>'Group Quarters and Households'!F31/'Households and Housing Units'!F11</f>
        <v>2.6598433436925224</v>
      </c>
      <c r="Q11" s="44">
        <f>'Group Quarters and Households'!G31/'Households and Housing Units'!G11</f>
        <v>2.6595170168951081</v>
      </c>
      <c r="R11" s="44">
        <f>'Group Quarters and Households'!H31/'Households and Housing Units'!H11</f>
        <v>2.6592971893638491</v>
      </c>
    </row>
    <row r="12" spans="1:18" x14ac:dyDescent="0.3">
      <c r="A12" s="36" t="s">
        <v>47</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2.4137015095664389</v>
      </c>
      <c r="M12" s="44">
        <f>'Group Quarters and Households'!C32/'Households and Housing Units'!C12</f>
        <v>2.407622023417971</v>
      </c>
      <c r="N12" s="44">
        <f>'Group Quarters and Households'!D32/'Households and Housing Units'!D12</f>
        <v>2.4064307182994296</v>
      </c>
      <c r="O12" s="44">
        <f>'Group Quarters and Households'!E32/'Households and Housing Units'!E12</f>
        <v>2.4060933278578682</v>
      </c>
      <c r="P12" s="44">
        <f>'Group Quarters and Households'!F32/'Households and Housing Units'!F12</f>
        <v>2.4061695089995281</v>
      </c>
      <c r="Q12" s="44">
        <f>'Group Quarters and Households'!G32/'Households and Housing Units'!G12</f>
        <v>2.4063977622138717</v>
      </c>
      <c r="R12" s="44">
        <f>'Group Quarters and Households'!H32/'Households and Housing Units'!H12</f>
        <v>2.406725682503291</v>
      </c>
    </row>
    <row r="13" spans="1:18" s="13" customFormat="1" x14ac:dyDescent="0.3">
      <c r="A13" s="36" t="s">
        <v>22</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2.6012799917085569</v>
      </c>
      <c r="M13" s="44">
        <f>'Group Quarters and Households'!C33/'Households and Housing Units'!C13</f>
        <v>2.6048900830483626</v>
      </c>
      <c r="N13" s="44">
        <f>'Group Quarters and Households'!D33/'Households and Housing Units'!D13</f>
        <v>2.6087662186671632</v>
      </c>
      <c r="O13" s="44">
        <f>'Group Quarters and Households'!E33/'Households and Housing Units'!E13</f>
        <v>2.6105660710736132</v>
      </c>
      <c r="P13" s="44">
        <f>'Group Quarters and Households'!F33/'Households and Housing Units'!F13</f>
        <v>2.6090668921060969</v>
      </c>
      <c r="Q13" s="44">
        <f>'Group Quarters and Households'!G33/'Households and Housing Units'!G13</f>
        <v>2.6076573099890328</v>
      </c>
      <c r="R13" s="44">
        <f>'Group Quarters and Households'!H33/'Households and Housing Units'!H13</f>
        <v>2.6069634234551247</v>
      </c>
    </row>
    <row r="14" spans="1:18" x14ac:dyDescent="0.3">
      <c r="A14" s="36" t="s">
        <v>48</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2.4217026551637497</v>
      </c>
      <c r="M14" s="44">
        <f>'Group Quarters and Households'!C34/'Households and Housing Units'!C14</f>
        <v>2.4251928718713849</v>
      </c>
      <c r="N14" s="44">
        <f>'Group Quarters and Households'!D34/'Households and Housing Units'!D14</f>
        <v>2.4264251386321618</v>
      </c>
      <c r="O14" s="44">
        <f>'Group Quarters and Households'!E34/'Households and Housing Units'!E14</f>
        <v>2.4239799959723425</v>
      </c>
      <c r="P14" s="44">
        <f>'Group Quarters and Households'!F34/'Households and Housing Units'!F14</f>
        <v>2.4212625803628529</v>
      </c>
      <c r="Q14" s="44">
        <f>'Group Quarters and Households'!G34/'Households and Housing Units'!G14</f>
        <v>2.420368409479186</v>
      </c>
      <c r="R14" s="44">
        <f>'Group Quarters and Households'!H34/'Households and Housing Units'!H14</f>
        <v>2.420493709622578</v>
      </c>
    </row>
    <row r="15" spans="1:18" x14ac:dyDescent="0.3">
      <c r="A15" s="36" t="s">
        <v>49</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2.6683066678197691</v>
      </c>
      <c r="M15" s="44">
        <f>'Group Quarters and Households'!C35/'Households and Housing Units'!C15</f>
        <v>2.6675619137220177</v>
      </c>
      <c r="N15" s="44">
        <f>'Group Quarters and Households'!D35/'Households and Housing Units'!D15</f>
        <v>2.666427615734547</v>
      </c>
      <c r="O15" s="44">
        <f>'Group Quarters and Households'!E35/'Households and Housing Units'!E15</f>
        <v>2.6658953598606159</v>
      </c>
      <c r="P15" s="44">
        <f>'Group Quarters and Households'!F35/'Households and Housing Units'!F15</f>
        <v>2.665616417910448</v>
      </c>
      <c r="Q15" s="44">
        <f>'Group Quarters and Households'!G35/'Households and Housing Units'!G15</f>
        <v>2.6655854892044344</v>
      </c>
      <c r="R15" s="44">
        <f>'Group Quarters and Households'!H35/'Households and Housing Units'!H15</f>
        <v>2.6654924386532239</v>
      </c>
    </row>
    <row r="16" spans="1:18" x14ac:dyDescent="0.3">
      <c r="A16" s="36" t="s">
        <v>50</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2.6970000000000001</v>
      </c>
      <c r="M16" s="44">
        <f>'Group Quarters and Households'!C36/'Households and Housing Units'!C16</f>
        <v>2.6977072890130658</v>
      </c>
      <c r="N16" s="44">
        <f>'Group Quarters and Households'!D36/'Households and Housing Units'!D16</f>
        <v>2.696502685052756</v>
      </c>
      <c r="O16" s="44">
        <f>'Group Quarters and Households'!E36/'Households and Housing Units'!E16</f>
        <v>2.6958534131229137</v>
      </c>
      <c r="P16" s="44">
        <f>'Group Quarters and Households'!F36/'Households and Housing Units'!F16</f>
        <v>2.6959808837355053</v>
      </c>
      <c r="Q16" s="44">
        <f>'Group Quarters and Households'!G36/'Households and Housing Units'!G16</f>
        <v>2.6962352819665356</v>
      </c>
      <c r="R16" s="44">
        <f>'Group Quarters and Households'!H36/'Households and Housing Units'!H16</f>
        <v>2.696552956797059</v>
      </c>
    </row>
    <row r="17" spans="1:18" s="13" customFormat="1" x14ac:dyDescent="0.3">
      <c r="A17" s="36" t="s">
        <v>23</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2.6960992776440076</v>
      </c>
      <c r="M17" s="44">
        <f>'Group Quarters and Households'!C37/'Households and Housing Units'!C17</f>
        <v>2.7009403897393027</v>
      </c>
      <c r="N17" s="44">
        <f>'Group Quarters and Households'!D37/'Households and Housing Units'!D17</f>
        <v>2.7017353614924446</v>
      </c>
      <c r="O17" s="44">
        <f>'Group Quarters and Households'!E37/'Households and Housing Units'!E17</f>
        <v>2.7018924938863891</v>
      </c>
      <c r="P17" s="44">
        <f>'Group Quarters and Households'!F37/'Households and Housing Units'!F17</f>
        <v>2.7008810311327331</v>
      </c>
      <c r="Q17" s="44">
        <f>'Group Quarters and Households'!G37/'Households and Housing Units'!G17</f>
        <v>2.7005745495815012</v>
      </c>
      <c r="R17" s="44">
        <f>'Group Quarters and Households'!H37/'Households and Housing Units'!H17</f>
        <v>2.70033034706834</v>
      </c>
    </row>
    <row r="18" spans="1:18" x14ac:dyDescent="0.3">
      <c r="A18" s="36" t="s">
        <v>51</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2.4445625430567857</v>
      </c>
      <c r="M18" s="44">
        <f>'Group Quarters and Households'!C38/'Households and Housing Units'!C18</f>
        <v>2.4442757412170373</v>
      </c>
      <c r="N18" s="44">
        <f>'Group Quarters and Households'!D38/'Households and Housing Units'!D18</f>
        <v>2.4458223137561248</v>
      </c>
      <c r="O18" s="44">
        <f>'Group Quarters and Households'!E38/'Households and Housing Units'!E18</f>
        <v>2.4462651564862621</v>
      </c>
      <c r="P18" s="44">
        <f>'Group Quarters and Households'!F38/'Households and Housing Units'!F18</f>
        <v>2.4448635548863566</v>
      </c>
      <c r="Q18" s="44">
        <f>'Group Quarters and Households'!G38/'Households and Housing Units'!G18</f>
        <v>2.4443992499639404</v>
      </c>
      <c r="R18" s="44">
        <f>'Group Quarters and Households'!H38/'Households and Housing Units'!H18</f>
        <v>2.4438232861806308</v>
      </c>
    </row>
    <row r="19" spans="1:18" s="13" customFormat="1" x14ac:dyDescent="0.3">
      <c r="A19" s="36" t="s">
        <v>24</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2.6245658126837466</v>
      </c>
      <c r="M19" s="44">
        <f>'Group Quarters and Households'!C39/'Households and Housing Units'!C19</f>
        <v>2.6389047041552307</v>
      </c>
      <c r="N19" s="44">
        <f>'Group Quarters and Households'!D39/'Households and Housing Units'!D19</f>
        <v>2.6416591154891704</v>
      </c>
      <c r="O19" s="44">
        <f>'Group Quarters and Households'!E39/'Households and Housing Units'!E19</f>
        <v>2.6431897755343128</v>
      </c>
      <c r="P19" s="44">
        <f>'Group Quarters and Households'!F39/'Households and Housing Units'!F19</f>
        <v>2.6431602179632647</v>
      </c>
      <c r="Q19" s="44">
        <f>'Group Quarters and Households'!G39/'Households and Housing Units'!G19</f>
        <v>2.64150895856663</v>
      </c>
      <c r="R19" s="44">
        <f>'Group Quarters and Households'!H39/'Households and Housing Units'!H19</f>
        <v>2.6400289286536109</v>
      </c>
    </row>
    <row r="20" spans="1:18" s="19" customFormat="1" x14ac:dyDescent="0.3">
      <c r="A20" s="40" t="s">
        <v>86</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2.5319198201456974</v>
      </c>
      <c r="M20" s="45">
        <f>'Group Quarters and Households'!C40/'Households and Housing Units'!C20</f>
        <v>2.5373944537133046</v>
      </c>
      <c r="N20" s="45">
        <f>'Group Quarters and Households'!D40/'Households and Housing Units'!D20</f>
        <v>2.5403841652144763</v>
      </c>
      <c r="O20" s="45">
        <f>'Group Quarters and Households'!E40/'Households and Housing Units'!E20</f>
        <v>2.5430306952547328</v>
      </c>
      <c r="P20" s="45">
        <f>'Group Quarters and Households'!F40/'Households and Housing Units'!F20</f>
        <v>2.5451971156859994</v>
      </c>
      <c r="Q20" s="45">
        <f>'Group Quarters and Households'!G40/'Households and Housing Units'!G20</f>
        <v>2.5471020597596059</v>
      </c>
      <c r="R20" s="45">
        <f>'Group Quarters and Households'!H40/'Households and Housing Units'!H20</f>
        <v>2.5489869805998318</v>
      </c>
    </row>
    <row r="22" spans="1:18" s="9" customFormat="1" ht="26.25" customHeight="1" x14ac:dyDescent="0.3">
      <c r="A22" s="90" t="s">
        <v>14</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77</v>
      </c>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f>'[1]Total number of houses needed'!B2</f>
        <v>78113.695219231391</v>
      </c>
      <c r="C25" s="52">
        <f>'[1]Total number of houses needed'!C2</f>
        <v>89719.766104351118</v>
      </c>
      <c r="D25" s="52">
        <f>'[1]Total number of houses needed'!D2</f>
        <v>100786.4646668338</v>
      </c>
      <c r="E25" s="52">
        <f>'[1]Total number of houses needed'!E2</f>
        <v>112910.20053009153</v>
      </c>
      <c r="F25" s="52">
        <f>'[1]Total number of houses needed'!F2</f>
        <v>123826.05144436059</v>
      </c>
      <c r="G25" s="52">
        <f>'[1]Total number of houses needed'!G2</f>
        <v>134137.77592358869</v>
      </c>
      <c r="H25" s="52">
        <f>'[1]Total number of houses needed'!H2</f>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3">
      <c r="A26" s="36" t="s">
        <v>19</v>
      </c>
      <c r="B26" s="52">
        <f>'[1]Total number of houses needed'!B3</f>
        <v>62896.442235999828</v>
      </c>
      <c r="C26" s="52">
        <f>'[1]Total number of houses needed'!C3</f>
        <v>66774.813985302928</v>
      </c>
      <c r="D26" s="52">
        <f>'[1]Total number of houses needed'!D3</f>
        <v>70432.197038148603</v>
      </c>
      <c r="E26" s="52">
        <f>'[1]Total number of houses needed'!E3</f>
        <v>74525.519541382993</v>
      </c>
      <c r="F26" s="52">
        <f>'[1]Total number of houses needed'!F3</f>
        <v>78120.107991956596</v>
      </c>
      <c r="G26" s="52">
        <f>'[1]Total number of houses needed'!G3</f>
        <v>81465.530680950687</v>
      </c>
      <c r="H26" s="52">
        <f>'[1]Total number of houses needed'!H3</f>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3">
      <c r="A27" s="36" t="s">
        <v>44</v>
      </c>
      <c r="B27" s="52">
        <f>'[1]Total number of houses needed'!B4</f>
        <v>12959.717452026909</v>
      </c>
      <c r="C27" s="52">
        <f>'[1]Total number of houses needed'!C4</f>
        <v>13174.361781747051</v>
      </c>
      <c r="D27" s="52">
        <f>'[1]Total number of houses needed'!D4</f>
        <v>13439.723758996004</v>
      </c>
      <c r="E27" s="52">
        <f>'[1]Total number of houses needed'!E4</f>
        <v>13718.670820404459</v>
      </c>
      <c r="F27" s="52">
        <f>'[1]Total number of houses needed'!F4</f>
        <v>13981.315780821511</v>
      </c>
      <c r="G27" s="52">
        <f>'[1]Total number of houses needed'!G4</f>
        <v>14236.262526881512</v>
      </c>
      <c r="H27" s="52">
        <f>'[1]Total number of houses needed'!H4</f>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3">
      <c r="A28" s="36" t="s">
        <v>20</v>
      </c>
      <c r="B28" s="52">
        <f>'[1]Total number of houses needed'!B5</f>
        <v>567026.18713314983</v>
      </c>
      <c r="C28" s="52">
        <f>'[1]Total number of houses needed'!C5</f>
        <v>595340.35339157982</v>
      </c>
      <c r="D28" s="52">
        <f>'[1]Total number of houses needed'!D5</f>
        <v>619735.6599820772</v>
      </c>
      <c r="E28" s="52">
        <f>'[1]Total number of houses needed'!E5</f>
        <v>650893.37569442706</v>
      </c>
      <c r="F28" s="52">
        <f>'[1]Total number of houses needed'!F5</f>
        <v>674322.43612113094</v>
      </c>
      <c r="G28" s="52">
        <f>'[1]Total number of houses needed'!G5</f>
        <v>693886.07388442755</v>
      </c>
      <c r="H28" s="52">
        <f>'[1]Total number of houses needed'!H5</f>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3">
      <c r="A29" s="36" t="s">
        <v>45</v>
      </c>
      <c r="B29" s="52">
        <f>'[1]Total number of houses needed'!B6</f>
        <v>13309.115498625089</v>
      </c>
      <c r="C29" s="52">
        <f>'[1]Total number of houses needed'!C6</f>
        <v>13293.161963882822</v>
      </c>
      <c r="D29" s="52">
        <f>'[1]Total number of houses needed'!D6</f>
        <v>13196.473874535744</v>
      </c>
      <c r="E29" s="52">
        <f>'[1]Total number of houses needed'!E6</f>
        <v>13133.143176013409</v>
      </c>
      <c r="F29" s="52">
        <f>'[1]Total number of houses needed'!F6</f>
        <v>13037.90540800654</v>
      </c>
      <c r="G29" s="52">
        <f>'[1]Total number of houses needed'!G6</f>
        <v>12924.78034347046</v>
      </c>
      <c r="H29" s="52">
        <f>'[1]Total number of houses needed'!H6</f>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3">
      <c r="A30" s="36" t="s">
        <v>46</v>
      </c>
      <c r="B30" s="52">
        <f>'[1]Total number of houses needed'!B7</f>
        <v>26330.126021833581</v>
      </c>
      <c r="C30" s="52">
        <f>'[1]Total number of houses needed'!C7</f>
        <v>26913.910895491212</v>
      </c>
      <c r="D30" s="52">
        <f>'[1]Total number of houses needed'!D7</f>
        <v>27409.770983131602</v>
      </c>
      <c r="E30" s="52">
        <f>'[1]Total number of houses needed'!E7</f>
        <v>28112.276633848047</v>
      </c>
      <c r="F30" s="52">
        <f>'[1]Total number of houses needed'!F7</f>
        <v>28578.679686579108</v>
      </c>
      <c r="G30" s="52">
        <f>'[1]Total number of houses needed'!G7</f>
        <v>28927.700918383594</v>
      </c>
      <c r="H30" s="52">
        <f>'[1]Total number of houses needed'!H7</f>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3">
      <c r="A31" s="36" t="s">
        <v>21</v>
      </c>
      <c r="B31" s="52">
        <f>'[1]Total number of houses needed'!B8</f>
        <v>72346.914501063555</v>
      </c>
      <c r="C31" s="52">
        <f>'[1]Total number of houses needed'!C8</f>
        <v>77300.832075846236</v>
      </c>
      <c r="D31" s="52">
        <f>'[1]Total number of houses needed'!D8</f>
        <v>81266.782979849013</v>
      </c>
      <c r="E31" s="52">
        <f>'[1]Total number of houses needed'!E8</f>
        <v>87847.013824854686</v>
      </c>
      <c r="F31" s="52">
        <f>'[1]Total number of houses needed'!F8</f>
        <v>91438.904391870383</v>
      </c>
      <c r="G31" s="52">
        <f>'[1]Total number of houses needed'!G8</f>
        <v>93537.867545263129</v>
      </c>
      <c r="H31" s="52">
        <f>'[1]Total number of houses needed'!H8</f>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3">
      <c r="A32" s="36" t="s">
        <v>47</v>
      </c>
      <c r="B32" s="52">
        <f>'[1]Total number of houses needed'!B9</f>
        <v>23837.224136869685</v>
      </c>
      <c r="C32" s="52">
        <f>'[1]Total number of houses needed'!C9</f>
        <v>23852.914779403171</v>
      </c>
      <c r="D32" s="52">
        <f>'[1]Total number of houses needed'!D9</f>
        <v>24014.005376080277</v>
      </c>
      <c r="E32" s="52">
        <f>'[1]Total number of houses needed'!E9</f>
        <v>24198.631936557613</v>
      </c>
      <c r="F32" s="52">
        <f>'[1]Total number of houses needed'!F9</f>
        <v>24350.831169132412</v>
      </c>
      <c r="G32" s="52">
        <f>'[1]Total number of houses needed'!G9</f>
        <v>24494.139037604902</v>
      </c>
      <c r="H32" s="52">
        <f>'[1]Total number of houses needed'!H9</f>
        <v>24637.446906077395</v>
      </c>
      <c r="J32" s="37"/>
      <c r="K32" s="46"/>
      <c r="L32" s="77">
        <f t="shared" si="1"/>
        <v>0.79334754797441365</v>
      </c>
      <c r="M32" s="77">
        <f t="shared" si="2"/>
        <v>0.79334754797441365</v>
      </c>
      <c r="N32" s="77">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3">
      <c r="A33" s="36" t="s">
        <v>22</v>
      </c>
      <c r="B33" s="52">
        <f>'[1]Total number of houses needed'!B10</f>
        <v>15956.862786278114</v>
      </c>
      <c r="C33" s="52">
        <f>'[1]Total number of houses needed'!C10</f>
        <v>16926.827031927918</v>
      </c>
      <c r="D33" s="52">
        <f>'[1]Total number of houses needed'!D10</f>
        <v>17781.024018932389</v>
      </c>
      <c r="E33" s="52">
        <f>'[1]Total number of houses needed'!E10</f>
        <v>18719.97917744505</v>
      </c>
      <c r="F33" s="52">
        <f>'[1]Total number of houses needed'!F10</f>
        <v>19562.599438584988</v>
      </c>
      <c r="G33" s="52">
        <f>'[1]Total number of houses needed'!G10</f>
        <v>20356.018614800658</v>
      </c>
      <c r="H33" s="52">
        <f>'[1]Total number of houses needed'!H10</f>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3">
      <c r="A34" s="36" t="s">
        <v>48</v>
      </c>
      <c r="B34" s="52">
        <f>'[1]Total number of houses needed'!B11</f>
        <v>27935.025919399246</v>
      </c>
      <c r="C34" s="52">
        <f>'[1]Total number of houses needed'!C11</f>
        <v>27914.43556609573</v>
      </c>
      <c r="D34" s="52">
        <f>'[1]Total number of houses needed'!D11</f>
        <v>27848.452843009451</v>
      </c>
      <c r="E34" s="52">
        <f>'[1]Total number of houses needed'!E11</f>
        <v>27884.953923865691</v>
      </c>
      <c r="F34" s="52">
        <f>'[1]Total number of houses needed'!F11</f>
        <v>27805.400286102096</v>
      </c>
      <c r="G34" s="52">
        <f>'[1]Total number of houses needed'!G11</f>
        <v>27665.479476153181</v>
      </c>
      <c r="H34" s="52">
        <f>'[1]Total number of houses needed'!H11</f>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3">
      <c r="A35" s="36" t="s">
        <v>49</v>
      </c>
      <c r="B35" s="52">
        <f>'[1]Total number of houses needed'!B12</f>
        <v>14258.132048274012</v>
      </c>
      <c r="C35" s="52">
        <f>'[1]Total number of houses needed'!C12</f>
        <v>14854.121885686371</v>
      </c>
      <c r="D35" s="52">
        <f>'[1]Total number of houses needed'!D12</f>
        <v>15360.096706275759</v>
      </c>
      <c r="E35" s="52">
        <f>'[1]Total number of houses needed'!E12</f>
        <v>16041.991285770313</v>
      </c>
      <c r="F35" s="52">
        <f>'[1]Total number of houses needed'!F12</f>
        <v>16523.304457915052</v>
      </c>
      <c r="G35" s="52">
        <f>'[1]Total number of houses needed'!G12</f>
        <v>16904.737953858963</v>
      </c>
      <c r="H35" s="52">
        <f>'[1]Total number of houses needed'!H12</f>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3">
      <c r="A36" s="36" t="s">
        <v>50</v>
      </c>
      <c r="B36" s="52">
        <f>'[1]Total number of houses needed'!B13</f>
        <v>15109.94249394673</v>
      </c>
      <c r="C36" s="52">
        <f>'[1]Total number of houses needed'!C13</f>
        <v>15715.631641781003</v>
      </c>
      <c r="D36" s="52">
        <f>'[1]Total number of houses needed'!D13</f>
        <v>15952.397122455384</v>
      </c>
      <c r="E36" s="52">
        <f>'[1]Total number of houses needed'!E13</f>
        <v>16257.609351179266</v>
      </c>
      <c r="F36" s="52">
        <f>'[1]Total number of houses needed'!F13</f>
        <v>16484.043247242396</v>
      </c>
      <c r="G36" s="52">
        <f>'[1]Total number of houses needed'!G13</f>
        <v>16671.73370101336</v>
      </c>
      <c r="H36" s="52">
        <f>'[1]Total number of houses needed'!H13</f>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3">
      <c r="A37" s="36" t="s">
        <v>23</v>
      </c>
      <c r="B37" s="52">
        <f>'[1]Total number of houses needed'!B14</f>
        <v>21743.751308861367</v>
      </c>
      <c r="C37" s="52">
        <f>'[1]Total number of houses needed'!C14</f>
        <v>23126.346201310356</v>
      </c>
      <c r="D37" s="52">
        <f>'[1]Total number of houses needed'!D14</f>
        <v>24437.656708101476</v>
      </c>
      <c r="E37" s="52">
        <f>'[1]Total number of houses needed'!E14</f>
        <v>25856.095161700472</v>
      </c>
      <c r="F37" s="52">
        <f>'[1]Total number of houses needed'!F14</f>
        <v>27152.90714937474</v>
      </c>
      <c r="G37" s="52">
        <f>'[1]Total number of houses needed'!G14</f>
        <v>28388.905904086638</v>
      </c>
      <c r="H37" s="52">
        <f>'[1]Total number of houses needed'!H14</f>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3">
      <c r="A38" s="36" t="s">
        <v>51</v>
      </c>
      <c r="B38" s="52">
        <f>'[1]Total number of houses needed'!B15</f>
        <v>32137.625149390034</v>
      </c>
      <c r="C38" s="52">
        <f>'[1]Total number of houses needed'!C15</f>
        <v>31972.705594515974</v>
      </c>
      <c r="D38" s="52">
        <f>'[1]Total number of houses needed'!D15</f>
        <v>31811.400714817235</v>
      </c>
      <c r="E38" s="52">
        <f>'[1]Total number of houses needed'!E15</f>
        <v>31674.494892551917</v>
      </c>
      <c r="F38" s="52">
        <f>'[1]Total number of houses needed'!F15</f>
        <v>31508.671668884028</v>
      </c>
      <c r="G38" s="52">
        <f>'[1]Total number of houses needed'!G15</f>
        <v>31325.678738133356</v>
      </c>
      <c r="H38" s="52">
        <f>'[1]Total number of houses needed'!H15</f>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3">
      <c r="A39" s="36" t="s">
        <v>24</v>
      </c>
      <c r="B39" s="52">
        <f>'[1]Total number of houses needed'!B16</f>
        <v>23727.284624451815</v>
      </c>
      <c r="C39" s="52">
        <f>'[1]Total number of houses needed'!C16</f>
        <v>24980.11714145563</v>
      </c>
      <c r="D39" s="52">
        <f>'[1]Total number of houses needed'!D16</f>
        <v>27273.721437618511</v>
      </c>
      <c r="E39" s="52">
        <f>'[1]Total number of houses needed'!E16</f>
        <v>29691.692181539969</v>
      </c>
      <c r="F39" s="52">
        <f>'[1]Total number of houses needed'!F16</f>
        <v>31967.359009276137</v>
      </c>
      <c r="G39" s="52">
        <f>'[1]Total number of houses needed'!G16</f>
        <v>34172.073184124405</v>
      </c>
      <c r="H39" s="52">
        <f>'[1]Total number of houses needed'!H16</f>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3">
      <c r="A40" s="35" t="s">
        <v>86</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3">
      <c r="A43" s="21">
        <v>1</v>
      </c>
      <c r="B43" s="21" t="s">
        <v>132</v>
      </c>
    </row>
    <row r="44" spans="1:18" x14ac:dyDescent="0.3">
      <c r="A44" s="21">
        <v>2</v>
      </c>
      <c r="B44" s="21" t="s">
        <v>133</v>
      </c>
    </row>
    <row r="46" spans="1:18" x14ac:dyDescent="0.3">
      <c r="B46" s="50" t="s">
        <v>112</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E24" sqref="E24"/>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68</v>
      </c>
      <c r="D1" s="88"/>
      <c r="E1" s="88"/>
      <c r="F1" s="88"/>
      <c r="G1" s="88"/>
      <c r="H1" s="88"/>
      <c r="I1" s="88"/>
      <c r="J1" s="88"/>
      <c r="K1" s="88"/>
      <c r="L1" s="88"/>
      <c r="M1" s="88"/>
      <c r="N1" s="88"/>
      <c r="O1" s="88"/>
      <c r="P1" s="88"/>
      <c r="Q1" s="88"/>
      <c r="R1" s="88"/>
    </row>
    <row r="2" spans="1:18" s="9" customFormat="1" ht="26.25" customHeight="1" x14ac:dyDescent="0.3">
      <c r="A2" s="90" t="s">
        <v>69</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78</v>
      </c>
      <c r="M3" s="93"/>
      <c r="N3" s="93"/>
      <c r="O3" s="93"/>
      <c r="P3" s="93"/>
      <c r="Q3" s="93"/>
      <c r="R3" s="93"/>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f>[5]DEL!D$47</f>
        <v>114891.02512338062</v>
      </c>
      <c r="C5" s="37">
        <f>[5]DEL!E$47</f>
        <v>131476.76155533473</v>
      </c>
      <c r="D5" s="37">
        <f>[5]DEL!F$47</f>
        <v>145904.39765467084</v>
      </c>
      <c r="E5" s="37">
        <f>[5]DEL!G$47</f>
        <v>161284.48021541242</v>
      </c>
      <c r="F5" s="37">
        <f>[5]DEL!H$47</f>
        <v>175629.35703928326</v>
      </c>
      <c r="G5" s="37">
        <f>[5]DEL!I$47</f>
        <v>189645.64068912767</v>
      </c>
      <c r="H5" s="37">
        <f>[5]DEL!J$47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3">
      <c r="A6" s="36" t="s">
        <v>19</v>
      </c>
      <c r="B6" s="37">
        <f>[5]FAI!D$47</f>
        <v>79709.989440663252</v>
      </c>
      <c r="C6" s="37">
        <f>[5]FAI!E$47</f>
        <v>83296.055723553378</v>
      </c>
      <c r="D6" s="37">
        <f>[5]FAI!F$47</f>
        <v>86600.856639589416</v>
      </c>
      <c r="E6" s="37">
        <f>[5]FAI!G$47</f>
        <v>91260.22777401327</v>
      </c>
      <c r="F6" s="37">
        <f>[5]FAI!H$47</f>
        <v>96135.046850985469</v>
      </c>
      <c r="G6" s="37">
        <f>[5]FAI!I$47</f>
        <v>101091.30705275264</v>
      </c>
      <c r="H6" s="37">
        <f>[5]FAI!J$47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3">
      <c r="A7" s="36" t="s">
        <v>44</v>
      </c>
      <c r="B7" s="37">
        <f>[5]FAY!D$47</f>
        <v>13086.305930030103</v>
      </c>
      <c r="C7" s="37">
        <f>[5]FAY!E$47</f>
        <v>13264.937659317522</v>
      </c>
      <c r="D7" s="37">
        <f>[5]FAY!F$47</f>
        <v>13505.883172509579</v>
      </c>
      <c r="E7" s="37">
        <f>[5]FAY!G$47</f>
        <v>13716.198723262925</v>
      </c>
      <c r="F7" s="37">
        <f>[5]FAY!H$47</f>
        <v>13914.371704598445</v>
      </c>
      <c r="G7" s="37">
        <f>[5]FAY!I$47</f>
        <v>14175.132794161147</v>
      </c>
      <c r="H7" s="37">
        <f>[5]FAY!J$47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3">
      <c r="A8" s="36" t="s">
        <v>20</v>
      </c>
      <c r="B8" s="37">
        <f>[5]FRA!D$47</f>
        <v>726058.27189851156</v>
      </c>
      <c r="C8" s="37">
        <f>[5]FRA!E$47</f>
        <v>752800.92133698077</v>
      </c>
      <c r="D8" s="37">
        <f>[5]FRA!F$47</f>
        <v>777956.62873996864</v>
      </c>
      <c r="E8" s="37">
        <f>[5]FRA!G$47</f>
        <v>816413.7284155282</v>
      </c>
      <c r="F8" s="37">
        <f>[5]FRA!H$47</f>
        <v>849684.90117475518</v>
      </c>
      <c r="G8" s="37">
        <f>[5]FRA!I$47</f>
        <v>878073.12309398584</v>
      </c>
      <c r="H8" s="37">
        <f>[5]FRA!J$47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3">
      <c r="A9" s="36" t="s">
        <v>45</v>
      </c>
      <c r="B9" s="37">
        <f>[5]HOC!D$47</f>
        <v>13141.638960577073</v>
      </c>
      <c r="C9" s="37">
        <f>[5]HOC!E$47</f>
        <v>12788.823993821952</v>
      </c>
      <c r="D9" s="37">
        <f>[5]HOC!F$47</f>
        <v>12437.538185252492</v>
      </c>
      <c r="E9" s="37">
        <f>[5]HOC!G$47</f>
        <v>12283.004031043145</v>
      </c>
      <c r="F9" s="37">
        <f>[5]HOC!H$47</f>
        <v>12196.288161010212</v>
      </c>
      <c r="G9" s="37">
        <f>[5]HOC!I$47</f>
        <v>12177.601582539663</v>
      </c>
      <c r="H9" s="37">
        <f>[5]HOC!J$47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3">
      <c r="A10" s="36" t="s">
        <v>46</v>
      </c>
      <c r="B10" s="37">
        <f>[5]KNO!D$47</f>
        <v>30472.510919060456</v>
      </c>
      <c r="C10" s="37">
        <f>[5]KNO!E$47</f>
        <v>30473.188855784556</v>
      </c>
      <c r="D10" s="37">
        <f>[5]KNO!F$47</f>
        <v>30471.210771419734</v>
      </c>
      <c r="E10" s="37">
        <f>[5]KNO!G$47</f>
        <v>31056.438192145128</v>
      </c>
      <c r="F10" s="37">
        <f>[5]KNO!H$47</f>
        <v>31734.466198578804</v>
      </c>
      <c r="G10" s="37">
        <f>[5]KNO!I$47</f>
        <v>32525.09901158592</v>
      </c>
      <c r="H10" s="37">
        <f>[5]KNO!J$47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3">
      <c r="A11" s="36" t="s">
        <v>21</v>
      </c>
      <c r="B11" s="37">
        <f>[5]LIC!D$47</f>
        <v>89406.900727194836</v>
      </c>
      <c r="C11" s="37">
        <f>[5]LIC!E$47</f>
        <v>93965.212113452406</v>
      </c>
      <c r="D11" s="37">
        <f>[5]LIC!F$47</f>
        <v>97613.207836931077</v>
      </c>
      <c r="E11" s="37">
        <f>[5]LIC!G$47</f>
        <v>105358.46908816883</v>
      </c>
      <c r="F11" s="37">
        <f>[5]LIC!H$47</f>
        <v>110540.5472023715</v>
      </c>
      <c r="G11" s="37">
        <f>[5]LIC!I$47</f>
        <v>114492.42427687603</v>
      </c>
      <c r="H11" s="37">
        <f>[5]LIC!J$47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3">
      <c r="A12" s="36" t="s">
        <v>47</v>
      </c>
      <c r="B12" s="37">
        <f>[5]LOG!D$47</f>
        <v>22388.943683597266</v>
      </c>
      <c r="C12" s="37">
        <f>[5]LOG!E$47</f>
        <v>21992.315106428869</v>
      </c>
      <c r="D12" s="37">
        <f>[5]LOG!F$47</f>
        <v>21828.74554850077</v>
      </c>
      <c r="E12" s="37">
        <f>[5]LOG!G$47</f>
        <v>21857.745373269539</v>
      </c>
      <c r="F12" s="37">
        <f>[5]LOG!H$47</f>
        <v>22077.094929317875</v>
      </c>
      <c r="G12" s="37">
        <f>[5]LOG!I$47</f>
        <v>22453.776215287082</v>
      </c>
      <c r="H12" s="37">
        <f>[5]LOG!J$47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3">
      <c r="A13" s="36" t="s">
        <v>22</v>
      </c>
      <c r="B13" s="37">
        <f>[5]MAD!D$47</f>
        <v>19955.522400684251</v>
      </c>
      <c r="C13" s="37">
        <f>[5]MAD!E$47</f>
        <v>20908.853509856439</v>
      </c>
      <c r="D13" s="37">
        <f>[5]MAD!F$47</f>
        <v>21657.123875801073</v>
      </c>
      <c r="E13" s="37">
        <f>[5]MAD!G$47</f>
        <v>22624.475107541533</v>
      </c>
      <c r="F13" s="37">
        <f>[5]MAD!H$47</f>
        <v>23610.844401915729</v>
      </c>
      <c r="G13" s="37">
        <f>[5]MAD!I$47</f>
        <v>24560.81993694156</v>
      </c>
      <c r="H13" s="37">
        <f>[5]MAD!J$47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3">
      <c r="A14" s="36" t="s">
        <v>48</v>
      </c>
      <c r="B14" s="37">
        <f>[5]MAR!D$47</f>
        <v>27946.555937392</v>
      </c>
      <c r="C14" s="37">
        <f>[5]MAR!E$47</f>
        <v>27272.520985541909</v>
      </c>
      <c r="D14" s="37">
        <f>[5]MAR!F$47</f>
        <v>27069.157005003828</v>
      </c>
      <c r="E14" s="37">
        <f>[5]MAR!G$47</f>
        <v>27464.070959415938</v>
      </c>
      <c r="F14" s="37">
        <f>[5]MAR!H$47</f>
        <v>27754.515082121834</v>
      </c>
      <c r="G14" s="37">
        <f>[5]MAR!I$47</f>
        <v>27739.50300577817</v>
      </c>
      <c r="H14" s="37">
        <f>[5]MAR!J$47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3">
      <c r="A15" s="36" t="s">
        <v>49</v>
      </c>
      <c r="B15" s="37">
        <f>[5]MOR!D$47</f>
        <v>18035.82831523296</v>
      </c>
      <c r="C15" s="37">
        <f>[5]MOR!E$47</f>
        <v>18578.312813004763</v>
      </c>
      <c r="D15" s="37">
        <f>[5]MOR!F$47</f>
        <v>18773.040241641338</v>
      </c>
      <c r="E15" s="37">
        <f>[5]MOR!G$47</f>
        <v>19295.430438425388</v>
      </c>
      <c r="F15" s="37">
        <f>[5]MOR!H$47</f>
        <v>19800.098876976666</v>
      </c>
      <c r="G15" s="37">
        <f>[5]MOR!I$47</f>
        <v>20351.247403641843</v>
      </c>
      <c r="H15" s="37">
        <f>[5]MOR!J$47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3">
      <c r="A16" s="36" t="s">
        <v>50</v>
      </c>
      <c r="B16" s="37">
        <f>[5]PER!D$47</f>
        <v>15811.990202917554</v>
      </c>
      <c r="C16" s="37">
        <f>[5]PER!E$47</f>
        <v>16033.768869147732</v>
      </c>
      <c r="D16" s="37">
        <f>[5]PER!F$47</f>
        <v>15974.35348738153</v>
      </c>
      <c r="E16" s="37">
        <f>[5]PER!G$47</f>
        <v>16105.777817907177</v>
      </c>
      <c r="F16" s="37">
        <f>[5]PER!H$47</f>
        <v>16316.897647102944</v>
      </c>
      <c r="G16" s="37">
        <f>[5]PER!I$47</f>
        <v>16579.870336945147</v>
      </c>
      <c r="H16" s="37">
        <f>[5]PER!J$47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3">
      <c r="A17" s="36" t="s">
        <v>23</v>
      </c>
      <c r="B17" s="37">
        <f>[5]PIC!D$47</f>
        <v>26021.012763209339</v>
      </c>
      <c r="C17" s="37">
        <f>[5]PIC!E$47</f>
        <v>27501.608125870869</v>
      </c>
      <c r="D17" s="37">
        <f>[5]PIC!F$47</f>
        <v>28892.334640637269</v>
      </c>
      <c r="E17" s="37">
        <f>[5]PIC!G$47</f>
        <v>30562.93262478496</v>
      </c>
      <c r="F17" s="37">
        <f>[5]PIC!H$47</f>
        <v>32192.688223823199</v>
      </c>
      <c r="G17" s="37">
        <f>[5]PIC!I$47</f>
        <v>33705.890454472676</v>
      </c>
      <c r="H17" s="37">
        <f>[5]PIC!J$47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3">
      <c r="A18" s="36" t="s">
        <v>51</v>
      </c>
      <c r="B18" s="37">
        <f>[5]ROS!D$47</f>
        <v>32726.806721341734</v>
      </c>
      <c r="C18" s="37">
        <f>[5]ROS!E$47</f>
        <v>31972.512013380761</v>
      </c>
      <c r="D18" s="37">
        <f>[5]ROS!F$47</f>
        <v>31439.577545370554</v>
      </c>
      <c r="E18" s="37">
        <f>[5]ROS!G$47</f>
        <v>31224.037883908288</v>
      </c>
      <c r="F18" s="37">
        <f>[5]ROS!H$47</f>
        <v>31190.814582032217</v>
      </c>
      <c r="G18" s="37">
        <f>[5]ROS!I$47</f>
        <v>31167.777017505687</v>
      </c>
      <c r="H18" s="37">
        <f>[5]ROS!J$47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3">
      <c r="A19" s="36" t="s">
        <v>24</v>
      </c>
      <c r="B19" s="37">
        <f>[5]UNI!D$47</f>
        <v>32882.176087456726</v>
      </c>
      <c r="C19" s="37">
        <f>[5]UNI!E$47</f>
        <v>33740.532229246899</v>
      </c>
      <c r="D19" s="37">
        <f>[5]UNI!F$47</f>
        <v>35959.18321522465</v>
      </c>
      <c r="E19" s="37">
        <f>[5]UNI!G$47</f>
        <v>38741.01682175442</v>
      </c>
      <c r="F19" s="37">
        <f>[5]UNI!H$47</f>
        <v>41973.974152222996</v>
      </c>
      <c r="G19" s="37">
        <f>[5]UNI!I$47</f>
        <v>45509.674242656234</v>
      </c>
      <c r="H19" s="37">
        <f>[5]UNI!J$47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3">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3">
      <c r="A22" s="90" t="s">
        <v>70</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87</v>
      </c>
      <c r="M23" s="93"/>
      <c r="N23" s="93"/>
      <c r="O23" s="93"/>
      <c r="P23" s="93"/>
      <c r="Q23" s="93"/>
      <c r="R23" s="93"/>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f>[5]DEL!D61</f>
        <v>111823.50230461061</v>
      </c>
      <c r="C25" s="37">
        <f>[5]DEL!E61</f>
        <v>128006.62597905808</v>
      </c>
      <c r="D25" s="37">
        <f>[5]DEL!F61</f>
        <v>142088.17062076132</v>
      </c>
      <c r="E25" s="37">
        <f>[5]DEL!G61</f>
        <v>157109.94429689675</v>
      </c>
      <c r="F25" s="37">
        <f>[5]DEL!H61</f>
        <v>171104.14291872585</v>
      </c>
      <c r="G25" s="37">
        <f>[5]DEL!I61</f>
        <v>184757.85486302784</v>
      </c>
      <c r="H25" s="37">
        <f>[5]DEL!J61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19</v>
      </c>
      <c r="B26" s="37">
        <f>[5]FAI!D61</f>
        <v>76347.246613453506</v>
      </c>
      <c r="C26" s="37">
        <f>[5]FAI!E61</f>
        <v>79760.693484117801</v>
      </c>
      <c r="D26" s="37">
        <f>[5]FAI!F61</f>
        <v>82935.604092217574</v>
      </c>
      <c r="E26" s="37">
        <f>[5]FAI!G61</f>
        <v>87410.685237433252</v>
      </c>
      <c r="F26" s="37">
        <f>[5]FAI!H61</f>
        <v>92080.632768694981</v>
      </c>
      <c r="G26" s="37">
        <f>[5]FAI!I61</f>
        <v>96820.909123621081</v>
      </c>
      <c r="H26" s="37">
        <f>[5]FAI!J61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44</v>
      </c>
      <c r="B27" s="37">
        <f>[5]FAY!D61</f>
        <v>12431.12555691775</v>
      </c>
      <c r="C27" s="37">
        <f>[5]FAY!E61</f>
        <v>12597.454777065854</v>
      </c>
      <c r="D27" s="37">
        <f>[5]FAY!F61</f>
        <v>12828.405304365286</v>
      </c>
      <c r="E27" s="37">
        <f>[5]FAY!G61</f>
        <v>13025.054876818471</v>
      </c>
      <c r="F27" s="37">
        <f>[5]FAY!H61</f>
        <v>13226.895906495574</v>
      </c>
      <c r="G27" s="37">
        <f>[5]FAY!I61</f>
        <v>13478.678642299115</v>
      </c>
      <c r="H27" s="37">
        <f>[5]FAY!J61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20</v>
      </c>
      <c r="B28" s="37">
        <f>[5]FRA!D61</f>
        <v>690360.95177202183</v>
      </c>
      <c r="C28" s="37">
        <f>[5]FRA!E61</f>
        <v>715734.89206661144</v>
      </c>
      <c r="D28" s="37">
        <f>[5]FRA!F61</f>
        <v>739552.4209681974</v>
      </c>
      <c r="E28" s="37">
        <f>[5]FRA!G61</f>
        <v>776337.46427707921</v>
      </c>
      <c r="F28" s="37">
        <f>[5]FRA!H61</f>
        <v>807962.48571818194</v>
      </c>
      <c r="G28" s="37">
        <f>[5]FRA!I61</f>
        <v>835003.07551983162</v>
      </c>
      <c r="H28" s="37">
        <f>[5]FRA!J61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45</v>
      </c>
      <c r="B29" s="37">
        <f>[5]HOC!D61</f>
        <v>12643.387747963496</v>
      </c>
      <c r="C29" s="37">
        <f>[5]HOC!E61</f>
        <v>12312.200127741908</v>
      </c>
      <c r="D29" s="37">
        <f>[5]HOC!F61</f>
        <v>11974.164838538241</v>
      </c>
      <c r="E29" s="37">
        <f>[5]HOC!G61</f>
        <v>11825.885325459165</v>
      </c>
      <c r="F29" s="37">
        <f>[5]HOC!H61</f>
        <v>11744.511507541847</v>
      </c>
      <c r="G29" s="37">
        <f>[5]HOC!I61</f>
        <v>11724.734834209252</v>
      </c>
      <c r="H29" s="37">
        <f>[5]HOC!J61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46</v>
      </c>
      <c r="B30" s="37">
        <f>[5]KNO!D61</f>
        <v>29158.3925879737</v>
      </c>
      <c r="C30" s="37">
        <f>[5]KNO!E61</f>
        <v>29147.430574593196</v>
      </c>
      <c r="D30" s="37">
        <f>[5]KNO!F61</f>
        <v>29137.206862875428</v>
      </c>
      <c r="E30" s="37">
        <f>[5]KNO!G61</f>
        <v>29692.543198556603</v>
      </c>
      <c r="F30" s="37">
        <f>[5]KNO!H61</f>
        <v>30332.823813901683</v>
      </c>
      <c r="G30" s="37">
        <f>[5]KNO!I61</f>
        <v>31082.578296249718</v>
      </c>
      <c r="H30" s="37">
        <f>[5]KNO!J61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21</v>
      </c>
      <c r="B31" s="37">
        <f>[5]LIC!D61</f>
        <v>85902.536935572411</v>
      </c>
      <c r="C31" s="37">
        <f>[5]LIC!E61</f>
        <v>90274.538438393502</v>
      </c>
      <c r="D31" s="37">
        <f>[5]LIC!F61</f>
        <v>93767.987711073394</v>
      </c>
      <c r="E31" s="37">
        <f>[5]LIC!G61</f>
        <v>101203.65949462901</v>
      </c>
      <c r="F31" s="37">
        <f>[5]LIC!H61</f>
        <v>106181.88291663365</v>
      </c>
      <c r="G31" s="37">
        <f>[5]LIC!I61</f>
        <v>109994.77891065257</v>
      </c>
      <c r="H31" s="37">
        <f>[5]LIC!J61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47</v>
      </c>
      <c r="B32" s="37">
        <f>[5]LOG!D61</f>
        <v>21388.480349758844</v>
      </c>
      <c r="C32" s="37">
        <f>[5]LOG!E61</f>
        <v>21022.465796035598</v>
      </c>
      <c r="D32" s="37">
        <f>[5]LOG!F61</f>
        <v>20869.831118399139</v>
      </c>
      <c r="E32" s="37">
        <f>[5]LOG!G61</f>
        <v>20901.565172071954</v>
      </c>
      <c r="F32" s="37">
        <f>[5]LOG!H61</f>
        <v>21107.152294881911</v>
      </c>
      <c r="G32" s="37">
        <f>[5]LOG!I61</f>
        <v>21462.942474625732</v>
      </c>
      <c r="H32" s="37">
        <f>[5]LOG!J61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22</v>
      </c>
      <c r="B33" s="37">
        <f>[5]MAD!D61</f>
        <v>19186.00129613735</v>
      </c>
      <c r="C33" s="37">
        <f>[5]MAD!E61</f>
        <v>20105.598946439604</v>
      </c>
      <c r="D33" s="37">
        <f>[5]MAD!F61</f>
        <v>20831.418744869145</v>
      </c>
      <c r="E33" s="37">
        <f>[5]MAD!G61</f>
        <v>21764.601398616935</v>
      </c>
      <c r="F33" s="37">
        <f>[5]MAD!H61</f>
        <v>22723.979665058516</v>
      </c>
      <c r="G33" s="37">
        <f>[5]MAD!I61</f>
        <v>23654.761555034525</v>
      </c>
      <c r="H33" s="37">
        <f>[5]MAD!J61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48</v>
      </c>
      <c r="B34" s="37">
        <f>[5]MAR!D61</f>
        <v>26201.029145949768</v>
      </c>
      <c r="C34" s="37">
        <f>[5]MAR!E61</f>
        <v>25549.809726010495</v>
      </c>
      <c r="D34" s="37">
        <f>[5]MAR!F61</f>
        <v>25334.405695511061</v>
      </c>
      <c r="E34" s="37">
        <f>[5]MAR!G61</f>
        <v>25686.583572381187</v>
      </c>
      <c r="F34" s="37">
        <f>[5]MAR!H61</f>
        <v>25957.783595850531</v>
      </c>
      <c r="G34" s="37">
        <f>[5]MAR!I61</f>
        <v>25958.266950977897</v>
      </c>
      <c r="H34" s="37">
        <f>[5]MAR!J61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49</v>
      </c>
      <c r="B35" s="37">
        <f>[5]MOR!D61</f>
        <v>17535.005406585951</v>
      </c>
      <c r="C35" s="37">
        <f>[5]MOR!E61</f>
        <v>18063.126912501033</v>
      </c>
      <c r="D35" s="37">
        <f>[5]MOR!F61</f>
        <v>18272.944466104622</v>
      </c>
      <c r="E35" s="37">
        <f>[5]MOR!G61</f>
        <v>18785.608410841982</v>
      </c>
      <c r="F35" s="37">
        <f>[5]MOR!H61</f>
        <v>19265.301701889737</v>
      </c>
      <c r="G35" s="37">
        <f>[5]MOR!I61</f>
        <v>19803.766364592513</v>
      </c>
      <c r="H35" s="37">
        <f>[5]MOR!J61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50</v>
      </c>
      <c r="B36" s="37">
        <f>[5]PER!D61</f>
        <v>14855.114073715054</v>
      </c>
      <c r="C36" s="37">
        <f>[5]PER!E61</f>
        <v>15057.065151280598</v>
      </c>
      <c r="D36" s="37">
        <f>[5]PER!F61</f>
        <v>15009.651547880199</v>
      </c>
      <c r="E36" s="37">
        <f>[5]PER!G61</f>
        <v>15144.063172058439</v>
      </c>
      <c r="F36" s="37">
        <f>[5]PER!H61</f>
        <v>15335.683103668707</v>
      </c>
      <c r="G36" s="37">
        <f>[5]PER!I61</f>
        <v>15578.47875226342</v>
      </c>
      <c r="H36" s="37">
        <f>[5]PER!J61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23</v>
      </c>
      <c r="B37" s="37">
        <f>[5]PIC!D61</f>
        <v>24857.627349103092</v>
      </c>
      <c r="C37" s="37">
        <f>[5]PIC!E61</f>
        <v>26283.215451169388</v>
      </c>
      <c r="D37" s="37">
        <f>[5]PIC!F61</f>
        <v>27614.421872442817</v>
      </c>
      <c r="E37" s="37">
        <f>[5]PIC!G61</f>
        <v>29213.180547033156</v>
      </c>
      <c r="F37" s="37">
        <f>[5]PIC!H61</f>
        <v>30793.115620329194</v>
      </c>
      <c r="G37" s="37">
        <f>[5]PIC!I61</f>
        <v>32249.608985616745</v>
      </c>
      <c r="H37" s="37">
        <f>[5]PIC!J61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51</v>
      </c>
      <c r="B38" s="37">
        <f>[5]ROS!D61</f>
        <v>30667.823066914618</v>
      </c>
      <c r="C38" s="37">
        <f>[5]ROS!E61</f>
        <v>29940.636285841334</v>
      </c>
      <c r="D38" s="37">
        <f>[5]ROS!F61</f>
        <v>29429.995416772588</v>
      </c>
      <c r="E38" s="37">
        <f>[5]ROS!G61</f>
        <v>29215.990269009399</v>
      </c>
      <c r="F38" s="37">
        <f>[5]ROS!H61</f>
        <v>29196.933089390885</v>
      </c>
      <c r="G38" s="37">
        <f>[5]ROS!I61</f>
        <v>29179.278820256612</v>
      </c>
      <c r="H38" s="37">
        <f>[5]ROS!J61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24</v>
      </c>
      <c r="B39" s="37">
        <f>[5]UNI!D61</f>
        <v>31920.045417440888</v>
      </c>
      <c r="C39" s="37">
        <f>[5]UNI!E61</f>
        <v>32773.430593586127</v>
      </c>
      <c r="D39" s="37">
        <f>[5]UNI!F61</f>
        <v>34938.226452414136</v>
      </c>
      <c r="E39" s="37">
        <f>[5]UNI!G61</f>
        <v>37625.14305359096</v>
      </c>
      <c r="F39" s="37">
        <f>[5]UNI!H61</f>
        <v>40733.209701056738</v>
      </c>
      <c r="G39" s="37">
        <f>[5]UNI!I61</f>
        <v>44136.47061021821</v>
      </c>
      <c r="H39" s="37">
        <f>[5]UNI!J61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134</v>
      </c>
    </row>
    <row r="45" spans="1:18" x14ac:dyDescent="0.3">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79</v>
      </c>
      <c r="D1" s="88"/>
      <c r="E1" s="88"/>
      <c r="F1" s="88"/>
      <c r="G1" s="88"/>
      <c r="H1" s="88"/>
      <c r="I1" s="88"/>
      <c r="J1" s="88"/>
      <c r="K1" s="88"/>
      <c r="L1" s="88"/>
      <c r="M1" s="88"/>
      <c r="N1" s="88"/>
      <c r="O1" s="88"/>
      <c r="P1" s="88"/>
      <c r="Q1" s="88"/>
      <c r="R1" s="88"/>
    </row>
    <row r="2" spans="1:18" s="9" customFormat="1" ht="26.25" customHeight="1" x14ac:dyDescent="0.3">
      <c r="A2" s="90" t="s">
        <v>72</v>
      </c>
      <c r="B2" s="90"/>
      <c r="C2" s="90"/>
      <c r="D2" s="90"/>
      <c r="E2" s="90"/>
      <c r="F2" s="90"/>
      <c r="G2" s="90"/>
      <c r="H2" s="90"/>
      <c r="I2" s="90"/>
      <c r="J2" s="90"/>
      <c r="K2" s="90"/>
      <c r="L2" s="90"/>
      <c r="M2" s="90"/>
      <c r="N2" s="90"/>
      <c r="O2" s="90"/>
      <c r="P2" s="90"/>
      <c r="Q2" s="90"/>
      <c r="R2" s="90"/>
    </row>
    <row r="3" spans="1:18" s="9" customFormat="1" ht="15.6" x14ac:dyDescent="0.3">
      <c r="A3" s="10"/>
      <c r="B3" s="18" t="s">
        <v>60</v>
      </c>
      <c r="C3" s="93" t="s">
        <v>61</v>
      </c>
      <c r="D3" s="93"/>
      <c r="E3" s="93"/>
      <c r="F3" s="93"/>
      <c r="G3" s="93"/>
      <c r="H3" s="93"/>
      <c r="I3" s="51"/>
      <c r="J3" s="10"/>
      <c r="K3" s="93"/>
      <c r="L3" s="93"/>
      <c r="M3" s="93"/>
      <c r="N3" s="93"/>
      <c r="O3" s="93"/>
      <c r="P3" s="93"/>
      <c r="Q3" s="93"/>
      <c r="R3" s="93"/>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90" t="s">
        <v>135</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93"/>
      <c r="J23" s="10"/>
      <c r="K23" s="93" t="s">
        <v>80</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90" t="s">
        <v>82</v>
      </c>
      <c r="B42" s="90"/>
      <c r="C42" s="90"/>
      <c r="D42" s="90"/>
      <c r="E42" s="90"/>
      <c r="F42" s="90"/>
      <c r="G42" s="90"/>
      <c r="H42" s="90"/>
      <c r="I42" s="90"/>
      <c r="J42" s="90"/>
      <c r="K42" s="90"/>
      <c r="L42" s="90"/>
      <c r="M42" s="90"/>
      <c r="N42" s="90"/>
      <c r="O42" s="90"/>
      <c r="P42" s="90"/>
      <c r="Q42" s="90"/>
    </row>
    <row r="43" spans="1:18" ht="15.75" customHeight="1" x14ac:dyDescent="0.3">
      <c r="A43" s="10"/>
      <c r="B43" s="18" t="s">
        <v>60</v>
      </c>
      <c r="C43" s="93" t="s">
        <v>61</v>
      </c>
      <c r="D43" s="93"/>
      <c r="E43" s="93"/>
      <c r="F43" s="93"/>
      <c r="G43" s="93"/>
      <c r="H43" s="93"/>
      <c r="I43" s="93"/>
      <c r="J43" s="10"/>
      <c r="K43" s="93" t="s">
        <v>75</v>
      </c>
      <c r="L43" s="93"/>
      <c r="M43" s="93"/>
      <c r="N43" s="93"/>
      <c r="O43" s="93"/>
      <c r="P43" s="93"/>
      <c r="Q43" s="93"/>
      <c r="R43" s="93"/>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90" t="s">
        <v>83</v>
      </c>
      <c r="B62" s="90"/>
      <c r="C62" s="90"/>
      <c r="D62" s="90"/>
      <c r="E62" s="90"/>
      <c r="F62" s="90"/>
      <c r="G62" s="90"/>
      <c r="H62" s="90"/>
      <c r="I62" s="90"/>
      <c r="J62" s="90"/>
      <c r="K62" s="90"/>
      <c r="L62" s="90"/>
      <c r="M62" s="90"/>
      <c r="N62" s="90"/>
      <c r="O62" s="90"/>
      <c r="P62" s="90"/>
      <c r="Q62" s="90"/>
    </row>
    <row r="63" spans="1:18" s="13" customFormat="1" ht="15.75" customHeight="1" x14ac:dyDescent="0.3">
      <c r="A63" s="10"/>
      <c r="B63" s="18" t="s">
        <v>60</v>
      </c>
      <c r="C63" s="93" t="s">
        <v>61</v>
      </c>
      <c r="D63" s="93"/>
      <c r="E63" s="93"/>
      <c r="F63" s="93"/>
      <c r="G63" s="93"/>
      <c r="H63" s="93"/>
      <c r="I63" s="93"/>
      <c r="J63" s="10"/>
      <c r="K63" s="93" t="s">
        <v>75</v>
      </c>
      <c r="L63" s="93"/>
      <c r="M63" s="93"/>
      <c r="N63" s="93"/>
      <c r="O63" s="93"/>
      <c r="P63" s="93"/>
      <c r="Q63" s="93"/>
      <c r="R63" s="93"/>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90" t="s">
        <v>84</v>
      </c>
      <c r="B82" s="90"/>
      <c r="C82" s="90"/>
      <c r="D82" s="90"/>
      <c r="E82" s="90"/>
      <c r="F82" s="90"/>
      <c r="G82" s="90"/>
      <c r="H82" s="90"/>
      <c r="I82" s="90"/>
      <c r="J82" s="90"/>
      <c r="K82" s="90"/>
      <c r="L82" s="90"/>
      <c r="M82" s="90"/>
      <c r="N82" s="90"/>
      <c r="O82" s="90"/>
      <c r="P82" s="90"/>
      <c r="Q82" s="90"/>
    </row>
    <row r="83" spans="1:18" ht="15.75" customHeight="1" x14ac:dyDescent="0.3">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90" t="s">
        <v>85</v>
      </c>
      <c r="B102" s="90"/>
      <c r="C102" s="90"/>
      <c r="D102" s="90"/>
      <c r="E102" s="90"/>
      <c r="F102" s="90"/>
      <c r="G102" s="90"/>
      <c r="H102" s="90"/>
      <c r="I102" s="90"/>
      <c r="J102" s="90"/>
      <c r="K102" s="90"/>
      <c r="L102" s="90"/>
      <c r="M102" s="90"/>
      <c r="N102" s="90"/>
      <c r="O102" s="90"/>
      <c r="P102" s="90"/>
      <c r="Q102" s="90"/>
      <c r="R102" s="49"/>
    </row>
    <row r="103" spans="1:18" ht="15.75" customHeight="1" x14ac:dyDescent="0.3">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137</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10" width="12.664062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53</v>
      </c>
      <c r="B2" t="s">
        <v>63</v>
      </c>
      <c r="C2" t="s">
        <v>11</v>
      </c>
      <c r="D2" s="8">
        <f>'[4]Group Quarters and Households'!B20</f>
        <v>69903</v>
      </c>
      <c r="E2" s="8">
        <f>'[4]Group Quarters and Households'!C20</f>
        <v>73176</v>
      </c>
      <c r="F2" s="8">
        <f>'[4]Group Quarters and Households'!D20</f>
        <v>76188</v>
      </c>
      <c r="G2" s="8">
        <f>'[4]Group Quarters and Households'!E20</f>
        <v>79887</v>
      </c>
      <c r="H2" s="8">
        <f>'[4]Group Quarters and Households'!F20</f>
        <v>82800</v>
      </c>
      <c r="I2" s="8">
        <f>'[4]Group Quarters and Households'!G20</f>
        <v>85321</v>
      </c>
      <c r="J2" s="8">
        <f>'[4]Group Quarters and Households'!H20</f>
        <v>87840</v>
      </c>
    </row>
    <row r="3" spans="1:10" x14ac:dyDescent="0.3">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18</v>
      </c>
      <c r="B4" t="s">
        <v>63</v>
      </c>
      <c r="C4" t="s">
        <v>11</v>
      </c>
      <c r="D4" s="8">
        <f>'[4]Group Quarters and Households'!B5</f>
        <v>2739</v>
      </c>
      <c r="E4" s="8">
        <f>'[4]Group Quarters and Households'!C5</f>
        <v>3160</v>
      </c>
      <c r="F4" s="8">
        <f>'[4]Group Quarters and Households'!D5</f>
        <v>3549</v>
      </c>
      <c r="G4" s="8">
        <f>'[4]Group Quarters and Households'!E5</f>
        <v>3976</v>
      </c>
      <c r="H4" s="8">
        <f>'[4]Group Quarters and Households'!F5</f>
        <v>4361</v>
      </c>
      <c r="I4" s="8">
        <f>'[4]Group Quarters and Households'!G5</f>
        <v>4724</v>
      </c>
      <c r="J4" s="8">
        <f>'[4]Group Quarters and Households'!H5</f>
        <v>5087</v>
      </c>
    </row>
    <row r="5" spans="1:10" x14ac:dyDescent="0.3">
      <c r="A5" t="s">
        <v>19</v>
      </c>
      <c r="B5" t="s">
        <v>63</v>
      </c>
      <c r="C5" t="s">
        <v>11</v>
      </c>
      <c r="D5" s="8">
        <f>'[4]Group Quarters and Households'!B6</f>
        <v>3095</v>
      </c>
      <c r="E5" s="8">
        <f>'[4]Group Quarters and Households'!C6</f>
        <v>3295</v>
      </c>
      <c r="F5" s="8">
        <f>'[4]Group Quarters and Households'!D6</f>
        <v>3475</v>
      </c>
      <c r="G5" s="8">
        <f>'[4]Group Quarters and Households'!E6</f>
        <v>3677</v>
      </c>
      <c r="H5" s="8">
        <f>'[4]Group Quarters and Households'!F6</f>
        <v>3855</v>
      </c>
      <c r="I5" s="8">
        <f>'[4]Group Quarters and Households'!G6</f>
        <v>4020</v>
      </c>
      <c r="J5" s="8">
        <f>'[4]Group Quarters and Households'!H6</f>
        <v>4185</v>
      </c>
    </row>
    <row r="6" spans="1:10" x14ac:dyDescent="0.3">
      <c r="A6" t="s">
        <v>44</v>
      </c>
      <c r="B6" t="s">
        <v>63</v>
      </c>
      <c r="C6" t="s">
        <v>11</v>
      </c>
      <c r="D6" s="8">
        <f>'[4]Group Quarters and Households'!B7</f>
        <v>320</v>
      </c>
      <c r="E6" s="8">
        <f>'[4]Group Quarters and Households'!C7</f>
        <v>326</v>
      </c>
      <c r="F6" s="8">
        <f>'[4]Group Quarters and Households'!D7</f>
        <v>332</v>
      </c>
      <c r="G6" s="8">
        <f>'[4]Group Quarters and Households'!E7</f>
        <v>339</v>
      </c>
      <c r="H6" s="8">
        <f>'[4]Group Quarters and Households'!F7</f>
        <v>345</v>
      </c>
      <c r="I6" s="8">
        <f>'[4]Group Quarters and Households'!G7</f>
        <v>352</v>
      </c>
      <c r="J6" s="8">
        <f>'[4]Group Quarters and Households'!H7</f>
        <v>358</v>
      </c>
    </row>
    <row r="7" spans="1:10" x14ac:dyDescent="0.3">
      <c r="A7" t="s">
        <v>20</v>
      </c>
      <c r="B7" t="s">
        <v>63</v>
      </c>
      <c r="C7" t="s">
        <v>11</v>
      </c>
      <c r="D7" s="8">
        <f>'[4]Group Quarters and Households'!B8</f>
        <v>29452</v>
      </c>
      <c r="E7" s="8">
        <f>'[4]Group Quarters and Households'!C8</f>
        <v>30928</v>
      </c>
      <c r="F7" s="8">
        <f>'[4]Group Quarters and Households'!D8</f>
        <v>32195</v>
      </c>
      <c r="G7" s="8">
        <f>'[4]Group Quarters and Households'!E8</f>
        <v>33814</v>
      </c>
      <c r="H7" s="8">
        <f>'[4]Group Quarters and Households'!F8</f>
        <v>35031</v>
      </c>
      <c r="I7" s="8">
        <f>'[4]Group Quarters and Households'!G8</f>
        <v>36047</v>
      </c>
      <c r="J7" s="8">
        <f>'[4]Group Quarters and Households'!H8</f>
        <v>37064</v>
      </c>
    </row>
    <row r="8" spans="1:10" x14ac:dyDescent="0.3">
      <c r="A8" t="s">
        <v>45</v>
      </c>
      <c r="B8" t="s">
        <v>63</v>
      </c>
      <c r="C8" t="s">
        <v>11</v>
      </c>
      <c r="D8" s="8">
        <f>'[4]Group Quarters and Households'!B9</f>
        <v>470</v>
      </c>
      <c r="E8" s="8">
        <f>'[4]Group Quarters and Households'!C9</f>
        <v>468</v>
      </c>
      <c r="F8" s="8">
        <f>'[4]Group Quarters and Households'!D9</f>
        <v>465</v>
      </c>
      <c r="G8" s="8">
        <f>'[4]Group Quarters and Households'!E9</f>
        <v>463</v>
      </c>
      <c r="H8" s="8">
        <f>'[4]Group Quarters and Households'!F9</f>
        <v>459</v>
      </c>
      <c r="I8" s="8">
        <f>'[4]Group Quarters and Households'!G9</f>
        <v>455</v>
      </c>
      <c r="J8" s="8">
        <f>'[4]Group Quarters and Households'!H9</f>
        <v>451</v>
      </c>
    </row>
    <row r="9" spans="1:10" x14ac:dyDescent="0.3">
      <c r="A9" t="s">
        <v>46</v>
      </c>
      <c r="B9" t="s">
        <v>63</v>
      </c>
      <c r="C9" t="s">
        <v>11</v>
      </c>
      <c r="D9" s="8">
        <f>'[4]Group Quarters and Households'!B10</f>
        <v>3768</v>
      </c>
      <c r="E9" s="8">
        <f>'[4]Group Quarters and Households'!C10</f>
        <v>3855</v>
      </c>
      <c r="F9" s="8">
        <f>'[4]Group Quarters and Households'!D10</f>
        <v>3926</v>
      </c>
      <c r="G9" s="8">
        <f>'[4]Group Quarters and Households'!E10</f>
        <v>4026</v>
      </c>
      <c r="H9" s="8">
        <f>'[4]Group Quarters and Households'!F10</f>
        <v>4093</v>
      </c>
      <c r="I9" s="8">
        <f>'[4]Group Quarters and Households'!G10</f>
        <v>4143</v>
      </c>
      <c r="J9" s="8">
        <f>'[4]Group Quarters and Households'!H10</f>
        <v>4193</v>
      </c>
    </row>
    <row r="10" spans="1:10" x14ac:dyDescent="0.3">
      <c r="A10" t="s">
        <v>21</v>
      </c>
      <c r="B10" t="s">
        <v>63</v>
      </c>
      <c r="C10" t="s">
        <v>11</v>
      </c>
      <c r="D10" s="8">
        <f>'[4]Group Quarters and Households'!B11</f>
        <v>4027</v>
      </c>
      <c r="E10" s="8">
        <f>'[4]Group Quarters and Households'!C11</f>
        <v>4307</v>
      </c>
      <c r="F10" s="8">
        <f>'[4]Group Quarters and Households'!D11</f>
        <v>4528</v>
      </c>
      <c r="G10" s="8">
        <f>'[4]Group Quarters and Households'!E11</f>
        <v>4895</v>
      </c>
      <c r="H10" s="8">
        <f>'[4]Group Quarters and Households'!F11</f>
        <v>5095</v>
      </c>
      <c r="I10" s="8">
        <f>'[4]Group Quarters and Households'!G11</f>
        <v>5212</v>
      </c>
      <c r="J10" s="8">
        <f>'[4]Group Quarters and Households'!H11</f>
        <v>5329</v>
      </c>
    </row>
    <row r="11" spans="1:10" x14ac:dyDescent="0.3">
      <c r="A11" t="s">
        <v>47</v>
      </c>
      <c r="B11" t="s">
        <v>63</v>
      </c>
      <c r="C11" t="s">
        <v>11</v>
      </c>
      <c r="D11" s="8">
        <f>'[4]Group Quarters and Households'!B12</f>
        <v>490</v>
      </c>
      <c r="E11" s="8">
        <f>'[4]Group Quarters and Households'!C12</f>
        <v>489</v>
      </c>
      <c r="F11" s="8">
        <f>'[4]Group Quarters and Households'!D12</f>
        <v>493</v>
      </c>
      <c r="G11" s="8">
        <f>'[4]Group Quarters and Households'!E12</f>
        <v>496</v>
      </c>
      <c r="H11" s="8">
        <f>'[4]Group Quarters and Households'!F12</f>
        <v>500</v>
      </c>
      <c r="I11" s="8">
        <f>'[4]Group Quarters and Households'!G12</f>
        <v>503</v>
      </c>
      <c r="J11" s="8">
        <f>'[4]Group Quarters and Households'!H12</f>
        <v>505</v>
      </c>
    </row>
    <row r="12" spans="1:10" x14ac:dyDescent="0.3">
      <c r="A12" t="s">
        <v>22</v>
      </c>
      <c r="B12" t="s">
        <v>63</v>
      </c>
      <c r="C12" t="s">
        <v>11</v>
      </c>
      <c r="D12" s="8">
        <f>'[4]Group Quarters and Households'!B13</f>
        <v>5229</v>
      </c>
      <c r="E12" s="8">
        <f>'[4]Group Quarters and Households'!C13</f>
        <v>5547</v>
      </c>
      <c r="F12" s="8">
        <f>'[4]Group Quarters and Households'!D13</f>
        <v>5827</v>
      </c>
      <c r="G12" s="8">
        <f>'[4]Group Quarters and Households'!E13</f>
        <v>6135</v>
      </c>
      <c r="H12" s="8">
        <f>'[4]Group Quarters and Households'!F13</f>
        <v>6411</v>
      </c>
      <c r="I12" s="8">
        <f>'[4]Group Quarters and Households'!G13</f>
        <v>6671</v>
      </c>
      <c r="J12" s="8">
        <f>'[4]Group Quarters and Households'!H13</f>
        <v>6931</v>
      </c>
    </row>
    <row r="13" spans="1:10" x14ac:dyDescent="0.3">
      <c r="A13" t="s">
        <v>48</v>
      </c>
      <c r="B13" t="s">
        <v>63</v>
      </c>
      <c r="C13" t="s">
        <v>11</v>
      </c>
      <c r="D13" s="8">
        <f>'[4]Group Quarters and Households'!B14</f>
        <v>5667</v>
      </c>
      <c r="E13" s="8">
        <f>'[4]Group Quarters and Households'!C14</f>
        <v>5663</v>
      </c>
      <c r="F13" s="8">
        <f>'[4]Group Quarters and Households'!D14</f>
        <v>5650</v>
      </c>
      <c r="G13" s="8">
        <f>'[4]Group Quarters and Households'!E14</f>
        <v>5658</v>
      </c>
      <c r="H13" s="8">
        <f>'[4]Group Quarters and Households'!F14</f>
        <v>5641</v>
      </c>
      <c r="I13" s="8">
        <f>'[4]Group Quarters and Households'!G14</f>
        <v>5613</v>
      </c>
      <c r="J13" s="8">
        <f>'[4]Group Quarters and Households'!H14</f>
        <v>5585</v>
      </c>
    </row>
    <row r="14" spans="1:10" x14ac:dyDescent="0.3">
      <c r="A14" t="s">
        <v>49</v>
      </c>
      <c r="B14" t="s">
        <v>63</v>
      </c>
      <c r="C14" t="s">
        <v>11</v>
      </c>
      <c r="D14" s="8">
        <f>'[4]Group Quarters and Households'!B15</f>
        <v>275</v>
      </c>
      <c r="E14" s="8">
        <f>'[4]Group Quarters and Households'!C15</f>
        <v>286</v>
      </c>
      <c r="F14" s="8">
        <f>'[4]Group Quarters and Households'!D15</f>
        <v>296</v>
      </c>
      <c r="G14" s="8">
        <f>'[4]Group Quarters and Households'!E15</f>
        <v>309</v>
      </c>
      <c r="H14" s="8">
        <f>'[4]Group Quarters and Households'!F15</f>
        <v>319</v>
      </c>
      <c r="I14" s="8">
        <f>'[4]Group Quarters and Households'!G15</f>
        <v>326</v>
      </c>
      <c r="J14" s="8">
        <f>'[4]Group Quarters and Households'!H15</f>
        <v>333</v>
      </c>
    </row>
    <row r="15" spans="1:10" x14ac:dyDescent="0.3">
      <c r="A15" t="s">
        <v>50</v>
      </c>
      <c r="B15" t="s">
        <v>63</v>
      </c>
      <c r="C15" t="s">
        <v>11</v>
      </c>
      <c r="D15" s="8">
        <f>'[4]Group Quarters and Households'!B16</f>
        <v>338</v>
      </c>
      <c r="E15" s="8">
        <f>'[4]Group Quarters and Households'!C16</f>
        <v>352</v>
      </c>
      <c r="F15" s="8">
        <f>'[4]Group Quarters and Households'!D16</f>
        <v>358</v>
      </c>
      <c r="G15" s="8">
        <f>'[4]Group Quarters and Households'!E16</f>
        <v>365</v>
      </c>
      <c r="H15" s="8">
        <f>'[4]Group Quarters and Households'!F16</f>
        <v>370</v>
      </c>
      <c r="I15" s="8">
        <f>'[4]Group Quarters and Households'!G16</f>
        <v>374</v>
      </c>
      <c r="J15" s="8">
        <f>'[4]Group Quarters and Households'!H16</f>
        <v>378</v>
      </c>
    </row>
    <row r="16" spans="1:10" x14ac:dyDescent="0.3">
      <c r="A16" t="s">
        <v>23</v>
      </c>
      <c r="B16" t="s">
        <v>63</v>
      </c>
      <c r="C16" t="s">
        <v>11</v>
      </c>
      <c r="D16" s="8">
        <f>'[4]Group Quarters and Households'!B17</f>
        <v>4631</v>
      </c>
      <c r="E16" s="8">
        <f>'[4]Group Quarters and Households'!C17</f>
        <v>4932</v>
      </c>
      <c r="F16" s="8">
        <f>'[4]Group Quarters and Households'!D17</f>
        <v>5212</v>
      </c>
      <c r="G16" s="8">
        <f>'[4]Group Quarters and Households'!E17</f>
        <v>5515</v>
      </c>
      <c r="H16" s="8">
        <f>'[4]Group Quarters and Households'!F17</f>
        <v>5791</v>
      </c>
      <c r="I16" s="8">
        <f>'[4]Group Quarters and Households'!G17</f>
        <v>6055</v>
      </c>
      <c r="J16" s="8">
        <f>'[4]Group Quarters and Households'!H17</f>
        <v>6318</v>
      </c>
    </row>
    <row r="17" spans="1:10" x14ac:dyDescent="0.3">
      <c r="A17" t="s">
        <v>51</v>
      </c>
      <c r="B17" t="s">
        <v>63</v>
      </c>
      <c r="C17" t="s">
        <v>11</v>
      </c>
      <c r="D17" s="8">
        <f>'[4]Group Quarters and Households'!B18</f>
        <v>5866</v>
      </c>
      <c r="E17" s="8">
        <f>'[4]Group Quarters and Households'!C18</f>
        <v>5828</v>
      </c>
      <c r="F17" s="8">
        <f>'[4]Group Quarters and Households'!D18</f>
        <v>5799</v>
      </c>
      <c r="G17" s="8">
        <f>'[4]Group Quarters and Households'!E18</f>
        <v>5774</v>
      </c>
      <c r="H17" s="8">
        <f>'[4]Group Quarters and Households'!F18</f>
        <v>5743</v>
      </c>
      <c r="I17" s="8">
        <f>'[4]Group Quarters and Households'!G18</f>
        <v>5710</v>
      </c>
      <c r="J17" s="8">
        <f>'[4]Group Quarters and Households'!H18</f>
        <v>5677</v>
      </c>
    </row>
    <row r="18" spans="1:10" x14ac:dyDescent="0.3">
      <c r="A18" t="s">
        <v>24</v>
      </c>
      <c r="B18" t="s">
        <v>63</v>
      </c>
      <c r="C18" t="s">
        <v>11</v>
      </c>
      <c r="D18" s="8">
        <f>'[4]Group Quarters and Households'!B19</f>
        <v>3536</v>
      </c>
      <c r="E18" s="8">
        <f>'[4]Group Quarters and Households'!C19</f>
        <v>3740</v>
      </c>
      <c r="F18" s="8">
        <f>'[4]Group Quarters and Households'!D19</f>
        <v>4083</v>
      </c>
      <c r="G18" s="8">
        <f>'[4]Group Quarters and Households'!E19</f>
        <v>4445</v>
      </c>
      <c r="H18" s="8">
        <f>'[4]Group Quarters and Households'!F19</f>
        <v>4786</v>
      </c>
      <c r="I18" s="8">
        <f>'[4]Group Quarters and Households'!G19</f>
        <v>5116</v>
      </c>
      <c r="J18" s="8">
        <f>'[4]Group Quarters and Households'!H19</f>
        <v>5446</v>
      </c>
    </row>
    <row r="19" spans="1:10" x14ac:dyDescent="0.3">
      <c r="A19" t="s">
        <v>53</v>
      </c>
      <c r="B19" t="s">
        <v>63</v>
      </c>
      <c r="C19" t="s">
        <v>12</v>
      </c>
      <c r="D19" s="8">
        <f>'[4]Group Quarters and Households'!B40</f>
        <v>2349059</v>
      </c>
      <c r="E19" s="8">
        <f>'[4]Group Quarters and Households'!C40</f>
        <v>2482152.9999999995</v>
      </c>
      <c r="F19" s="8">
        <f>'[4]Group Quarters and Households'!D40</f>
        <v>2600895.0000000005</v>
      </c>
      <c r="G19" s="8">
        <f>'[4]Group Quarters and Households'!E40</f>
        <v>2747350.9999999995</v>
      </c>
      <c r="H19" s="8">
        <f>'[4]Group Quarters and Households'!F40</f>
        <v>2861753</v>
      </c>
      <c r="I19" s="8">
        <f>'[4]Group Quarters and Households'!G40</f>
        <v>2960127</v>
      </c>
      <c r="J19" s="8">
        <f>'[4]Group Quarters and Households'!H40</f>
        <v>3058625</v>
      </c>
    </row>
    <row r="20" spans="1:10" x14ac:dyDescent="0.3">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3">
      <c r="A21" t="s">
        <v>18</v>
      </c>
      <c r="B21" t="s">
        <v>63</v>
      </c>
      <c r="C21" t="s">
        <v>12</v>
      </c>
      <c r="D21" s="8">
        <f>'[4]Group Quarters and Households'!B25</f>
        <v>211317.00000000003</v>
      </c>
      <c r="E21" s="8">
        <f>'[4]Group Quarters and Households'!C25</f>
        <v>243759.00000000003</v>
      </c>
      <c r="F21" s="8">
        <f>'[4]Group Quarters and Households'!D25</f>
        <v>273829</v>
      </c>
      <c r="G21" s="8">
        <f>'[4]Group Quarters and Households'!E25</f>
        <v>306777.99999999994</v>
      </c>
      <c r="H21" s="8">
        <f>'[4]Group Quarters and Households'!F25</f>
        <v>336449.99999999988</v>
      </c>
      <c r="I21" s="8">
        <f>'[4]Group Quarters and Households'!G25</f>
        <v>364470</v>
      </c>
      <c r="J21" s="8">
        <f>'[4]Group Quarters and Households'!H25</f>
        <v>392486.00000000017</v>
      </c>
    </row>
    <row r="22" spans="1:10" x14ac:dyDescent="0.3">
      <c r="A22" t="s">
        <v>19</v>
      </c>
      <c r="B22" t="s">
        <v>63</v>
      </c>
      <c r="C22" t="s">
        <v>12</v>
      </c>
      <c r="D22" s="8">
        <f>'[4]Group Quarters and Households'!B26</f>
        <v>155787</v>
      </c>
      <c r="E22" s="8">
        <f>'[4]Group Quarters and Households'!C26</f>
        <v>165824.00000000003</v>
      </c>
      <c r="F22" s="8">
        <f>'[4]Group Quarters and Households'!D26</f>
        <v>174891.99999999994</v>
      </c>
      <c r="G22" s="8">
        <f>'[4]Group Quarters and Households'!E26</f>
        <v>185064</v>
      </c>
      <c r="H22" s="8">
        <f>'[4]Group Quarters and Households'!F26</f>
        <v>194007</v>
      </c>
      <c r="I22" s="8">
        <f>'[4]Group Quarters and Households'!G26</f>
        <v>202333</v>
      </c>
      <c r="J22" s="8">
        <f>'[4]Group Quarters and Households'!H26</f>
        <v>210652.99999999994</v>
      </c>
    </row>
    <row r="23" spans="1:10" x14ac:dyDescent="0.3">
      <c r="A23" t="s">
        <v>44</v>
      </c>
      <c r="B23" t="s">
        <v>63</v>
      </c>
      <c r="C23" t="s">
        <v>12</v>
      </c>
      <c r="D23" s="8">
        <f>'[4]Group Quarters and Households'!B27</f>
        <v>28616.999999999996</v>
      </c>
      <c r="E23" s="8">
        <f>'[4]Group Quarters and Households'!C27</f>
        <v>29063.000000000004</v>
      </c>
      <c r="F23" s="8">
        <f>'[4]Group Quarters and Households'!D27</f>
        <v>29631.000000000004</v>
      </c>
      <c r="G23" s="8">
        <f>'[4]Group Quarters and Households'!E27</f>
        <v>30244.000000000007</v>
      </c>
      <c r="H23" s="8">
        <f>'[4]Group Quarters and Households'!F27</f>
        <v>30827</v>
      </c>
      <c r="I23" s="8">
        <f>'[4]Group Quarters and Households'!G27</f>
        <v>31396.999999999996</v>
      </c>
      <c r="J23" s="8">
        <f>'[4]Group Quarters and Households'!H27</f>
        <v>31968.000000000011</v>
      </c>
    </row>
    <row r="24" spans="1:10" x14ac:dyDescent="0.3">
      <c r="A24" t="s">
        <v>20</v>
      </c>
      <c r="B24" t="s">
        <v>63</v>
      </c>
      <c r="C24" t="s">
        <v>12</v>
      </c>
      <c r="D24" s="8">
        <f>'[4]Group Quarters and Households'!B28</f>
        <v>1294211</v>
      </c>
      <c r="E24" s="8">
        <f>'[4]Group Quarters and Households'!C28</f>
        <v>1359097.9999999998</v>
      </c>
      <c r="F24" s="8">
        <f>'[4]Group Quarters and Households'!D28</f>
        <v>1414771.0000000005</v>
      </c>
      <c r="G24" s="8">
        <f>'[4]Group Quarters and Households'!E28</f>
        <v>1485774.9999999995</v>
      </c>
      <c r="H24" s="8">
        <f>'[4]Group Quarters and Households'!F28</f>
        <v>1539205</v>
      </c>
      <c r="I24" s="8">
        <f>'[4]Group Quarters and Households'!G28</f>
        <v>1583745</v>
      </c>
      <c r="J24" s="8">
        <f>'[4]Group Quarters and Households'!H28</f>
        <v>1628365.9999999998</v>
      </c>
    </row>
    <row r="25" spans="1:10" x14ac:dyDescent="0.3">
      <c r="A25" t="s">
        <v>45</v>
      </c>
      <c r="B25" t="s">
        <v>63</v>
      </c>
      <c r="C25" t="s">
        <v>12</v>
      </c>
      <c r="D25" s="8">
        <f>'[4]Group Quarters and Households'!B29</f>
        <v>27573.000000000004</v>
      </c>
      <c r="E25" s="8">
        <f>'[4]Group Quarters and Households'!C29</f>
        <v>27475.000000000011</v>
      </c>
      <c r="F25" s="8">
        <f>'[4]Group Quarters and Households'!D29</f>
        <v>27266</v>
      </c>
      <c r="G25" s="8">
        <f>'[4]Group Quarters and Households'!E29</f>
        <v>27131</v>
      </c>
      <c r="H25" s="8">
        <f>'[4]Group Quarters and Households'!F29</f>
        <v>26933.000000000004</v>
      </c>
      <c r="I25" s="8">
        <f>'[4]Group Quarters and Households'!G29</f>
        <v>26700.999999999996</v>
      </c>
      <c r="J25" s="8">
        <f>'[4]Group Quarters and Households'!H29</f>
        <v>26471.999999999993</v>
      </c>
    </row>
    <row r="26" spans="1:10" x14ac:dyDescent="0.3">
      <c r="A26" t="s">
        <v>46</v>
      </c>
      <c r="B26" t="s">
        <v>63</v>
      </c>
      <c r="C26" t="s">
        <v>12</v>
      </c>
      <c r="D26" s="8">
        <f>'[4]Group Quarters and Households'!B30</f>
        <v>59015.000000000007</v>
      </c>
      <c r="E26" s="8">
        <f>'[4]Group Quarters and Households'!C30</f>
        <v>60429.000000000015</v>
      </c>
      <c r="F26" s="8">
        <f>'[4]Group Quarters and Households'!D30</f>
        <v>61576.999999999985</v>
      </c>
      <c r="G26" s="8">
        <f>'[4]Group Quarters and Households'!E30</f>
        <v>63174</v>
      </c>
      <c r="H26" s="8">
        <f>'[4]Group Quarters and Households'!F30</f>
        <v>64214.000000000015</v>
      </c>
      <c r="I26" s="8">
        <f>'[4]Group Quarters and Households'!G30</f>
        <v>64977.000000000029</v>
      </c>
      <c r="J26" s="8">
        <f>'[4]Group Quarters and Households'!H30</f>
        <v>65744</v>
      </c>
    </row>
    <row r="27" spans="1:10" x14ac:dyDescent="0.3">
      <c r="A27" t="s">
        <v>21</v>
      </c>
      <c r="B27" t="s">
        <v>63</v>
      </c>
      <c r="C27" t="s">
        <v>12</v>
      </c>
      <c r="D27" s="8">
        <f>'[4]Group Quarters and Households'!B31</f>
        <v>174466.00000000003</v>
      </c>
      <c r="E27" s="8">
        <f>'[4]Group Quarters and Households'!C31</f>
        <v>186595</v>
      </c>
      <c r="F27" s="8">
        <f>'[4]Group Quarters and Households'!D31</f>
        <v>196178.99999999994</v>
      </c>
      <c r="G27" s="8">
        <f>'[4]Group Quarters and Households'!E31</f>
        <v>212063.00000000006</v>
      </c>
      <c r="H27" s="8">
        <f>'[4]Group Quarters and Households'!F31</f>
        <v>220725</v>
      </c>
      <c r="I27" s="8">
        <f>'[4]Group Quarters and Households'!G31</f>
        <v>225763.99999999997</v>
      </c>
      <c r="J27" s="8">
        <f>'[4]Group Quarters and Households'!H31</f>
        <v>230811.99999999994</v>
      </c>
    </row>
    <row r="28" spans="1:10" x14ac:dyDescent="0.3">
      <c r="A28" t="s">
        <v>47</v>
      </c>
      <c r="B28" t="s">
        <v>63</v>
      </c>
      <c r="C28" t="s">
        <v>12</v>
      </c>
      <c r="D28" s="8">
        <f>'[4]Group Quarters and Households'!B32</f>
        <v>45646.000000000007</v>
      </c>
      <c r="E28" s="8">
        <f>'[4]Group Quarters and Households'!C32</f>
        <v>45560.999999999993</v>
      </c>
      <c r="F28" s="8">
        <f>'[4]Group Quarters and Households'!D32</f>
        <v>45846</v>
      </c>
      <c r="G28" s="8">
        <f>'[4]Group Quarters and Households'!E32</f>
        <v>46191.999999999993</v>
      </c>
      <c r="H28" s="8">
        <f>'[4]Group Quarters and Households'!F32</f>
        <v>46484.000000000007</v>
      </c>
      <c r="I28" s="8">
        <f>'[4]Group Quarters and Households'!G32</f>
        <v>46762.000000000015</v>
      </c>
      <c r="J28" s="8">
        <f>'[4]Group Quarters and Households'!H32</f>
        <v>47042.000000000007</v>
      </c>
    </row>
    <row r="29" spans="1:10" x14ac:dyDescent="0.3">
      <c r="A29" t="s">
        <v>22</v>
      </c>
      <c r="B29" t="s">
        <v>63</v>
      </c>
      <c r="C29" t="s">
        <v>12</v>
      </c>
      <c r="D29" s="8">
        <f>'[4]Group Quarters and Households'!B33</f>
        <v>38613.000000000015</v>
      </c>
      <c r="E29" s="8">
        <f>'[4]Group Quarters and Households'!C33</f>
        <v>41016.999999999985</v>
      </c>
      <c r="F29" s="8">
        <f>'[4]Group Quarters and Households'!D33</f>
        <v>43151.000000000007</v>
      </c>
      <c r="G29" s="8">
        <f>'[4]Group Quarters and Households'!E33</f>
        <v>45460.999999999993</v>
      </c>
      <c r="H29" s="8">
        <f>'[4]Group Quarters and Households'!F33</f>
        <v>47479.999999999985</v>
      </c>
      <c r="I29" s="8">
        <f>'[4]Group Quarters and Households'!G33</f>
        <v>49379.000000000007</v>
      </c>
      <c r="J29" s="8">
        <f>'[4]Group Quarters and Households'!H33</f>
        <v>51290</v>
      </c>
    </row>
    <row r="30" spans="1:10" x14ac:dyDescent="0.3">
      <c r="A30" t="s">
        <v>48</v>
      </c>
      <c r="B30" t="s">
        <v>63</v>
      </c>
      <c r="C30" t="s">
        <v>12</v>
      </c>
      <c r="D30" s="8">
        <f>'[4]Group Quarters and Households'!B34</f>
        <v>59737.000000000015</v>
      </c>
      <c r="E30" s="8">
        <f>'[4]Group Quarters and Households'!C34</f>
        <v>59778.999999999993</v>
      </c>
      <c r="F30" s="8">
        <f>'[4]Group Quarters and Households'!D34</f>
        <v>59667.999999999985</v>
      </c>
      <c r="G30" s="8">
        <f>'[4]Group Quarters and Households'!E34</f>
        <v>59685.999999999978</v>
      </c>
      <c r="H30" s="8">
        <f>'[4]Group Quarters and Households'!F34</f>
        <v>59449.000000000007</v>
      </c>
      <c r="I30" s="8">
        <f>'[4]Group Quarters and Households'!G34</f>
        <v>59128</v>
      </c>
      <c r="J30" s="8">
        <f>'[4]Group Quarters and Households'!H34</f>
        <v>58832.000000000015</v>
      </c>
    </row>
    <row r="31" spans="1:10" x14ac:dyDescent="0.3">
      <c r="A31" t="s">
        <v>49</v>
      </c>
      <c r="B31" t="s">
        <v>63</v>
      </c>
      <c r="C31" t="s">
        <v>12</v>
      </c>
      <c r="D31" s="8">
        <f>'[4]Group Quarters and Households'!B35</f>
        <v>34666.999999999993</v>
      </c>
      <c r="E31" s="8">
        <f>'[4]Group Quarters and Households'!C35</f>
        <v>36106</v>
      </c>
      <c r="F31" s="8">
        <f>'[4]Group Quarters and Households'!D35</f>
        <v>37320.000000000007</v>
      </c>
      <c r="G31" s="8">
        <f>'[4]Group Quarters and Households'!E35</f>
        <v>38968.999999999993</v>
      </c>
      <c r="H31" s="8">
        <f>'[4]Group Quarters and Households'!F35</f>
        <v>40134.000000000007</v>
      </c>
      <c r="I31" s="8">
        <f>'[4]Group Quarters and Households'!G35</f>
        <v>41059.999999999993</v>
      </c>
      <c r="J31" s="8">
        <f>'[4]Group Quarters and Households'!H35</f>
        <v>41984.999999999993</v>
      </c>
    </row>
    <row r="32" spans="1:10" x14ac:dyDescent="0.3">
      <c r="A32" t="s">
        <v>50</v>
      </c>
      <c r="B32" t="s">
        <v>63</v>
      </c>
      <c r="C32" t="s">
        <v>12</v>
      </c>
      <c r="D32" s="8">
        <f>'[4]Group Quarters and Households'!B36</f>
        <v>35061</v>
      </c>
      <c r="E32" s="8">
        <f>'[4]Group Quarters and Households'!C36</f>
        <v>36475.999999999993</v>
      </c>
      <c r="F32" s="8">
        <f>'[4]Group Quarters and Households'!D36</f>
        <v>37008.999999999993</v>
      </c>
      <c r="G32" s="8">
        <f>'[4]Group Quarters and Households'!E36</f>
        <v>37707.999999999985</v>
      </c>
      <c r="H32" s="8">
        <f>'[4]Group Quarters and Households'!F36</f>
        <v>38234.999999999985</v>
      </c>
      <c r="I32" s="8">
        <f>'[4]Group Quarters and Households'!G36</f>
        <v>38673.999999999993</v>
      </c>
      <c r="J32" s="8">
        <f>'[4]Group Quarters and Households'!H36</f>
        <v>39114.000000000007</v>
      </c>
    </row>
    <row r="33" spans="1:10" x14ac:dyDescent="0.3">
      <c r="A33" t="s">
        <v>23</v>
      </c>
      <c r="B33" t="s">
        <v>63</v>
      </c>
      <c r="C33" t="s">
        <v>12</v>
      </c>
      <c r="D33" s="8">
        <f>'[4]Group Quarters and Households'!B37</f>
        <v>53911.999999999985</v>
      </c>
      <c r="E33" s="8">
        <f>'[4]Group Quarters and Households'!C37</f>
        <v>57442.999999999993</v>
      </c>
      <c r="F33" s="8">
        <f>'[4]Group Quarters and Households'!D37</f>
        <v>60718.000000000007</v>
      </c>
      <c r="G33" s="8">
        <f>'[4]Group Quarters and Households'!E37</f>
        <v>64246.000000000015</v>
      </c>
      <c r="H33" s="8">
        <f>'[4]Group Quarters and Households'!F37</f>
        <v>67443</v>
      </c>
      <c r="I33" s="8">
        <f>'[4]Group Quarters and Households'!G37</f>
        <v>70505</v>
      </c>
      <c r="J33" s="8">
        <f>'[4]Group Quarters and Households'!H37</f>
        <v>73568</v>
      </c>
    </row>
    <row r="34" spans="1:10" x14ac:dyDescent="0.3">
      <c r="A34" t="s">
        <v>51</v>
      </c>
      <c r="B34" t="s">
        <v>63</v>
      </c>
      <c r="C34" t="s">
        <v>12</v>
      </c>
      <c r="D34" s="8">
        <f>'[4]Group Quarters and Households'!B38</f>
        <v>71260</v>
      </c>
      <c r="E34" s="8">
        <f>'[4]Group Quarters and Households'!C38</f>
        <v>70886</v>
      </c>
      <c r="F34" s="8">
        <f>'[4]Group Quarters and Households'!D38</f>
        <v>70572.999999999985</v>
      </c>
      <c r="G34" s="8">
        <f>'[4]Group Quarters and Households'!E38</f>
        <v>70281.999999999971</v>
      </c>
      <c r="H34" s="8">
        <f>'[4]Group Quarters and Households'!F38</f>
        <v>69874.000000000029</v>
      </c>
      <c r="I34" s="8">
        <f>'[4]Group Quarters and Households'!G38</f>
        <v>69455</v>
      </c>
      <c r="J34" s="8">
        <f>'[4]Group Quarters and Households'!H38</f>
        <v>69033</v>
      </c>
    </row>
    <row r="35" spans="1:10" x14ac:dyDescent="0.3">
      <c r="A35" t="s">
        <v>24</v>
      </c>
      <c r="B35" t="s">
        <v>63</v>
      </c>
      <c r="C35" t="s">
        <v>12</v>
      </c>
      <c r="D35" s="8">
        <f>'[4]Group Quarters and Households'!B39</f>
        <v>59177</v>
      </c>
      <c r="E35" s="8">
        <f>'[4]Group Quarters and Households'!C39</f>
        <v>62642</v>
      </c>
      <c r="F35" s="8">
        <f>'[4]Group Quarters and Households'!D39</f>
        <v>68465</v>
      </c>
      <c r="G35" s="8">
        <f>'[4]Group Quarters and Households'!E39</f>
        <v>74577.999999999956</v>
      </c>
      <c r="H35" s="8">
        <f>'[4]Group Quarters and Households'!F39</f>
        <v>80292.999999999971</v>
      </c>
      <c r="I35" s="8">
        <f>'[4]Group Quarters and Households'!G39</f>
        <v>85777.000000000015</v>
      </c>
      <c r="J35" s="8">
        <f>'[4]Group Quarters and Households'!H39</f>
        <v>91259.999999999956</v>
      </c>
    </row>
    <row r="36" spans="1:10" x14ac:dyDescent="0.3">
      <c r="A36" t="s">
        <v>53</v>
      </c>
      <c r="B36" t="s">
        <v>64</v>
      </c>
      <c r="C36" t="s">
        <v>13</v>
      </c>
      <c r="D36" s="8">
        <f>'[4]Households and Housing Units'!B20</f>
        <v>927795.43834321212</v>
      </c>
      <c r="E36" s="8">
        <f>'[4]Households and Housing Units'!C20</f>
        <v>978229.0634266726</v>
      </c>
      <c r="F36" s="8">
        <f>'[4]Households and Housing Units'!D20</f>
        <v>1023819.5606846005</v>
      </c>
      <c r="G36" s="8">
        <f>'[4]Households and Housing Units'!E20</f>
        <v>1080345.1980058779</v>
      </c>
      <c r="H36" s="8">
        <f>'[4]Households and Housing Units'!F20</f>
        <v>1124373.8185789513</v>
      </c>
      <c r="I36" s="8">
        <f>'[4]Households and Housing Units'!G20</f>
        <v>1162154.8452123569</v>
      </c>
      <c r="J36" s="8">
        <f>'[4]Households and Housing Units'!H20</f>
        <v>1199937.474486527</v>
      </c>
    </row>
    <row r="37" spans="1:10" x14ac:dyDescent="0.3">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3">
      <c r="A38" t="s">
        <v>18</v>
      </c>
      <c r="B38" t="s">
        <v>64</v>
      </c>
      <c r="C38" t="s">
        <v>13</v>
      </c>
      <c r="D38" s="8">
        <f>'[4]Households and Housing Units'!B5</f>
        <v>74761.619718309856</v>
      </c>
      <c r="E38" s="8">
        <f>'[4]Households and Housing Units'!C5</f>
        <v>85864.788732394372</v>
      </c>
      <c r="F38" s="8">
        <f>'[4]Households and Housing Units'!D5</f>
        <v>96455.985915492958</v>
      </c>
      <c r="G38" s="8">
        <f>'[4]Households and Housing Units'!E5</f>
        <v>108058.80281690141</v>
      </c>
      <c r="H38" s="8">
        <f>'[4]Households and Housing Units'!F5</f>
        <v>118505.63380281691</v>
      </c>
      <c r="I38" s="8">
        <f>'[4]Households and Housing Units'!G5</f>
        <v>128374.29577464789</v>
      </c>
      <c r="J38" s="8">
        <f>'[4]Households and Housing Units'!H5</f>
        <v>138242.95774647887</v>
      </c>
    </row>
    <row r="39" spans="1:10" x14ac:dyDescent="0.3">
      <c r="A39" t="s">
        <v>19</v>
      </c>
      <c r="B39" t="s">
        <v>64</v>
      </c>
      <c r="C39" t="s">
        <v>13</v>
      </c>
      <c r="D39" s="8">
        <f>'[4]Households and Housing Units'!B6</f>
        <v>58306.716417910444</v>
      </c>
      <c r="E39" s="8">
        <f>'[4]Households and Housing Units'!C6</f>
        <v>61898.507462686561</v>
      </c>
      <c r="F39" s="8">
        <f>'[4]Households and Housing Units'!D6</f>
        <v>65288.805970149253</v>
      </c>
      <c r="G39" s="8">
        <f>'[4]Households and Housing Units'!E6</f>
        <v>69083.208955223876</v>
      </c>
      <c r="H39" s="8">
        <f>'[4]Households and Housing Units'!F6</f>
        <v>72415.298507462678</v>
      </c>
      <c r="I39" s="8">
        <f>'[4]Households and Housing Units'!G6</f>
        <v>75516.417910447752</v>
      </c>
      <c r="J39" s="8">
        <f>'[4]Households and Housing Units'!H6</f>
        <v>78617.537313432826</v>
      </c>
    </row>
    <row r="40" spans="1:10" x14ac:dyDescent="0.3">
      <c r="A40" t="s">
        <v>44</v>
      </c>
      <c r="B40" t="s">
        <v>64</v>
      </c>
      <c r="C40" t="s">
        <v>13</v>
      </c>
      <c r="D40" s="8">
        <f>'[4]Households and Housing Units'!B7</f>
        <v>11875.103734439834</v>
      </c>
      <c r="E40" s="8">
        <f>'[4]Households and Housing Units'!C7</f>
        <v>12071.784232365144</v>
      </c>
      <c r="F40" s="8">
        <f>'[4]Households and Housing Units'!D7</f>
        <v>12314.937759336099</v>
      </c>
      <c r="G40" s="8">
        <f>'[4]Households and Housing Units'!E7</f>
        <v>12570.539419087136</v>
      </c>
      <c r="H40" s="8">
        <f>'[4]Households and Housing Units'!F7</f>
        <v>12811.203319502074</v>
      </c>
      <c r="I40" s="8">
        <f>'[4]Households and Housing Units'!G7</f>
        <v>13044.813278008298</v>
      </c>
      <c r="J40" s="8">
        <f>'[4]Households and Housing Units'!H7</f>
        <v>13278.838174273858</v>
      </c>
    </row>
    <row r="41" spans="1:10" x14ac:dyDescent="0.3">
      <c r="A41" t="s">
        <v>20</v>
      </c>
      <c r="B41" t="s">
        <v>64</v>
      </c>
      <c r="C41" t="s">
        <v>13</v>
      </c>
      <c r="D41" s="8">
        <f>'[4]Households and Housing Units'!B8</f>
        <v>526244.30894308945</v>
      </c>
      <c r="E41" s="8">
        <f>'[4]Households and Housing Units'!C8</f>
        <v>552519.91869918699</v>
      </c>
      <c r="F41" s="8">
        <f>'[4]Households and Housing Units'!D8</f>
        <v>575160.56910569104</v>
      </c>
      <c r="G41" s="8">
        <f>'[4]Households and Housing Units'!E8</f>
        <v>604077.23577235779</v>
      </c>
      <c r="H41" s="8">
        <f>'[4]Households and Housing Units'!F8</f>
        <v>625821.13821138209</v>
      </c>
      <c r="I41" s="8">
        <f>'[4]Households and Housing Units'!G8</f>
        <v>643977.64227642282</v>
      </c>
      <c r="J41" s="8">
        <f>'[4]Households and Housing Units'!H8</f>
        <v>662134.14634146343</v>
      </c>
    </row>
    <row r="42" spans="1:10" x14ac:dyDescent="0.3">
      <c r="A42" t="s">
        <v>45</v>
      </c>
      <c r="B42" t="s">
        <v>64</v>
      </c>
      <c r="C42" t="s">
        <v>13</v>
      </c>
      <c r="D42" s="8">
        <f>'[4]Households and Housing Units'!B9</f>
        <v>11422.821576763485</v>
      </c>
      <c r="E42" s="8">
        <f>'[4]Households and Housing Units'!C9</f>
        <v>11409.543568464729</v>
      </c>
      <c r="F42" s="8">
        <f>'[4]Households and Housing Units'!D9</f>
        <v>11326.556016597509</v>
      </c>
      <c r="G42" s="8">
        <f>'[4]Households and Housing Units'!E9</f>
        <v>11272.199170124481</v>
      </c>
      <c r="H42" s="8">
        <f>'[4]Households and Housing Units'!F9</f>
        <v>11190.456431535269</v>
      </c>
      <c r="I42" s="8">
        <f>'[4]Households and Housing Units'!G9</f>
        <v>11093.360995850622</v>
      </c>
      <c r="J42" s="8">
        <f>'[4]Households and Housing Units'!H9</f>
        <v>10996.68049792531</v>
      </c>
    </row>
    <row r="43" spans="1:10" x14ac:dyDescent="0.3">
      <c r="A43" t="s">
        <v>46</v>
      </c>
      <c r="B43" t="s">
        <v>64</v>
      </c>
      <c r="C43" t="s">
        <v>13</v>
      </c>
      <c r="D43" s="8">
        <f>'[4]Households and Housing Units'!B10</f>
        <v>23411.507936507936</v>
      </c>
      <c r="E43" s="8">
        <f>'[4]Households and Housing Units'!C10</f>
        <v>23929.365079365078</v>
      </c>
      <c r="F43" s="8">
        <f>'[4]Households and Housing Units'!D10</f>
        <v>24370.238095238095</v>
      </c>
      <c r="G43" s="8">
        <f>'[4]Households and Housing Units'!E10</f>
        <v>24994.841269841269</v>
      </c>
      <c r="H43" s="8">
        <f>'[4]Households and Housing Units'!F10</f>
        <v>25409.523809523809</v>
      </c>
      <c r="I43" s="8">
        <f>'[4]Households and Housing Units'!G10</f>
        <v>25719.841269841269</v>
      </c>
      <c r="J43" s="8">
        <f>'[4]Households and Housing Units'!H10</f>
        <v>26030.555555555555</v>
      </c>
    </row>
    <row r="44" spans="1:10" x14ac:dyDescent="0.3">
      <c r="A44" t="s">
        <v>21</v>
      </c>
      <c r="B44" t="s">
        <v>64</v>
      </c>
      <c r="C44" t="s">
        <v>13</v>
      </c>
      <c r="D44" s="8">
        <f>'[4]Households and Housing Units'!B11</f>
        <v>65659.022556390977</v>
      </c>
      <c r="E44" s="8">
        <f>'[4]Households and Housing Units'!C11</f>
        <v>70153.383458646611</v>
      </c>
      <c r="F44" s="8">
        <f>'[4]Households and Housing Units'!D11</f>
        <v>73752.631578947359</v>
      </c>
      <c r="G44" s="8">
        <f>'[4]Households and Housing Units'!E11</f>
        <v>79724.436090225558</v>
      </c>
      <c r="H44" s="8">
        <f>'[4]Households and Housing Units'!F11</f>
        <v>82984.210526315786</v>
      </c>
      <c r="I44" s="8">
        <f>'[4]Households and Housing Units'!G11</f>
        <v>84889.097744360901</v>
      </c>
      <c r="J44" s="8">
        <f>'[4]Households and Housing Units'!H11</f>
        <v>86794.360902255634</v>
      </c>
    </row>
    <row r="45" spans="1:10" x14ac:dyDescent="0.3">
      <c r="A45" t="s">
        <v>47</v>
      </c>
      <c r="B45" t="s">
        <v>64</v>
      </c>
      <c r="C45" t="s">
        <v>13</v>
      </c>
      <c r="D45" s="8">
        <f>'[4]Households and Housing Units'!B12</f>
        <v>18910.788381742739</v>
      </c>
      <c r="E45" s="8">
        <f>'[4]Households and Housing Units'!C12</f>
        <v>18923.651452282156</v>
      </c>
      <c r="F45" s="8">
        <f>'[4]Households and Housing Units'!D12</f>
        <v>19051.452282157676</v>
      </c>
      <c r="G45" s="8">
        <f>'[4]Households and Housing Units'!E12</f>
        <v>19197.925311203318</v>
      </c>
      <c r="H45" s="8">
        <f>'[4]Households and Housing Units'!F12</f>
        <v>19318.672199170123</v>
      </c>
      <c r="I45" s="8">
        <f>'[4]Households and Housing Units'!G12</f>
        <v>19432.365145228214</v>
      </c>
      <c r="J45" s="8">
        <f>'[4]Households and Housing Units'!H12</f>
        <v>19546.058091286304</v>
      </c>
    </row>
    <row r="46" spans="1:10" x14ac:dyDescent="0.3">
      <c r="A46" t="s">
        <v>22</v>
      </c>
      <c r="B46" t="s">
        <v>64</v>
      </c>
      <c r="C46" t="s">
        <v>13</v>
      </c>
      <c r="D46" s="8">
        <f>'[4]Households and Housing Units'!B13</f>
        <v>14843.846153846152</v>
      </c>
      <c r="E46" s="8">
        <f>'[4]Households and Housing Units'!C13</f>
        <v>15746.153846153846</v>
      </c>
      <c r="F46" s="8">
        <f>'[4]Households and Housing Units'!D13</f>
        <v>16540.76923076923</v>
      </c>
      <c r="G46" s="8">
        <f>'[4]Households and Housing Units'!E13</f>
        <v>17414.23076923077</v>
      </c>
      <c r="H46" s="8">
        <f>'[4]Households and Housing Units'!F13</f>
        <v>18198.076923076922</v>
      </c>
      <c r="I46" s="8">
        <f>'[4]Households and Housing Units'!G13</f>
        <v>18936.153846153844</v>
      </c>
      <c r="J46" s="8">
        <f>'[4]Households and Housing Units'!H13</f>
        <v>19674.23076923077</v>
      </c>
    </row>
    <row r="47" spans="1:10" x14ac:dyDescent="0.3">
      <c r="A47" t="s">
        <v>48</v>
      </c>
      <c r="B47" t="s">
        <v>64</v>
      </c>
      <c r="C47" t="s">
        <v>13</v>
      </c>
      <c r="D47" s="8">
        <f>'[4]Households and Housing Units'!B14</f>
        <v>24667.768595041322</v>
      </c>
      <c r="E47" s="8">
        <f>'[4]Households and Housing Units'!C14</f>
        <v>24649.173553719011</v>
      </c>
      <c r="F47" s="8">
        <f>'[4]Households and Housing Units'!D14</f>
        <v>24590.909090909092</v>
      </c>
      <c r="G47" s="8">
        <f>'[4]Households and Housing Units'!E14</f>
        <v>24623.14049586777</v>
      </c>
      <c r="H47" s="8">
        <f>'[4]Households and Housing Units'!F14</f>
        <v>24552.892561983474</v>
      </c>
      <c r="I47" s="8">
        <f>'[4]Households and Housing Units'!G14</f>
        <v>24429.338842975209</v>
      </c>
      <c r="J47" s="8">
        <f>'[4]Households and Housing Units'!H14</f>
        <v>24305.785123966944</v>
      </c>
    </row>
    <row r="48" spans="1:10" x14ac:dyDescent="0.3">
      <c r="A48" t="s">
        <v>49</v>
      </c>
      <c r="B48" t="s">
        <v>64</v>
      </c>
      <c r="C48" t="s">
        <v>13</v>
      </c>
      <c r="D48" s="8">
        <f>'[4]Households and Housing Units'!B15</f>
        <v>12992.134831460675</v>
      </c>
      <c r="E48" s="8">
        <f>'[4]Households and Housing Units'!C15</f>
        <v>13535.205992509364</v>
      </c>
      <c r="F48" s="8">
        <f>'[4]Households and Housing Units'!D15</f>
        <v>13996.254681647941</v>
      </c>
      <c r="G48" s="8">
        <f>'[4]Households and Housing Units'!E15</f>
        <v>14617.602996254682</v>
      </c>
      <c r="H48" s="8">
        <f>'[4]Households and Housing Units'!F15</f>
        <v>15056.1797752809</v>
      </c>
      <c r="I48" s="8">
        <f>'[4]Households and Housing Units'!G15</f>
        <v>15403.745318352061</v>
      </c>
      <c r="J48" s="8">
        <f>'[4]Households and Housing Units'!H15</f>
        <v>15751.310861423221</v>
      </c>
    </row>
    <row r="49" spans="1:12" x14ac:dyDescent="0.3">
      <c r="A49" t="s">
        <v>50</v>
      </c>
      <c r="B49" t="s">
        <v>64</v>
      </c>
      <c r="C49" t="s">
        <v>13</v>
      </c>
      <c r="D49" s="8">
        <f>'[4]Households and Housing Units'!B16</f>
        <v>13000.370370370369</v>
      </c>
      <c r="E49" s="8">
        <f>'[4]Households and Housing Units'!C16</f>
        <v>13521.111111111109</v>
      </c>
      <c r="F49" s="8">
        <f>'[4]Households and Housing Units'!D16</f>
        <v>13724.814814814814</v>
      </c>
      <c r="G49" s="8">
        <f>'[4]Households and Housing Units'!E16</f>
        <v>13987.407407407407</v>
      </c>
      <c r="H49" s="8">
        <f>'[4]Households and Housing Units'!F16</f>
        <v>14182.222222222221</v>
      </c>
      <c r="I49" s="8">
        <f>'[4]Households and Housing Units'!G16</f>
        <v>14343.703703703703</v>
      </c>
      <c r="J49" s="8">
        <f>'[4]Households and Housing Units'!H16</f>
        <v>14505.185185185184</v>
      </c>
    </row>
    <row r="50" spans="1:12" x14ac:dyDescent="0.3">
      <c r="A50" t="s">
        <v>23</v>
      </c>
      <c r="B50" t="s">
        <v>64</v>
      </c>
      <c r="C50" t="s">
        <v>13</v>
      </c>
      <c r="D50" s="8">
        <f>'[4]Households and Housing Units'!B17</f>
        <v>19998.888888888887</v>
      </c>
      <c r="E50" s="8">
        <f>'[4]Households and Housing Units'!C17</f>
        <v>21267.777777777777</v>
      </c>
      <c r="F50" s="8">
        <f>'[4]Households and Housing Units'!D17</f>
        <v>22473.703703703701</v>
      </c>
      <c r="G50" s="8">
        <f>'[4]Households and Housing Units'!E17</f>
        <v>23778.148148148146</v>
      </c>
      <c r="H50" s="8">
        <f>'[4]Households and Housing Units'!F17</f>
        <v>24970.740740740741</v>
      </c>
      <c r="I50" s="8">
        <f>'[4]Households and Housing Units'!G17</f>
        <v>26107.407407407405</v>
      </c>
      <c r="J50" s="8">
        <f>'[4]Households and Housing Units'!H17</f>
        <v>27244.074074074073</v>
      </c>
    </row>
    <row r="51" spans="1:12" x14ac:dyDescent="0.3">
      <c r="A51" t="s">
        <v>51</v>
      </c>
      <c r="B51" t="s">
        <v>64</v>
      </c>
      <c r="C51" t="s">
        <v>13</v>
      </c>
      <c r="D51" s="8">
        <f>'[4]Households and Housing Units'!B18</f>
        <v>29147.131147540986</v>
      </c>
      <c r="E51" s="8">
        <f>'[4]Households and Housing Units'!C18</f>
        <v>29000.819672131147</v>
      </c>
      <c r="F51" s="8">
        <f>'[4]Households and Housing Units'!D18</f>
        <v>28854.508196721312</v>
      </c>
      <c r="G51" s="8">
        <f>'[4]Households and Housing Units'!E18</f>
        <v>28730.327868852459</v>
      </c>
      <c r="H51" s="8">
        <f>'[4]Households and Housing Units'!F18</f>
        <v>28579.918032786885</v>
      </c>
      <c r="I51" s="8">
        <f>'[4]Households and Housing Units'!G18</f>
        <v>28413.934426229509</v>
      </c>
      <c r="J51" s="8">
        <f>'[4]Households and Housing Units'!H18</f>
        <v>28247.950819672133</v>
      </c>
    </row>
    <row r="52" spans="1:12" x14ac:dyDescent="0.3">
      <c r="A52" t="s">
        <v>24</v>
      </c>
      <c r="B52" t="s">
        <v>64</v>
      </c>
      <c r="C52" t="s">
        <v>13</v>
      </c>
      <c r="D52" s="8">
        <f>'[4]Households and Housing Units'!B19</f>
        <v>22553.409090909088</v>
      </c>
      <c r="E52" s="8">
        <f>'[4]Households and Housing Units'!C19</f>
        <v>23737.878787878788</v>
      </c>
      <c r="F52" s="8">
        <f>'[4]Households and Housing Units'!D19</f>
        <v>25917.42424242424</v>
      </c>
      <c r="G52" s="8">
        <f>'[4]Households and Housing Units'!E19</f>
        <v>28215.151515151512</v>
      </c>
      <c r="H52" s="8">
        <f>'[4]Households and Housing Units'!F19</f>
        <v>30377.651515151512</v>
      </c>
      <c r="I52" s="8">
        <f>'[4]Households and Housing Units'!G19</f>
        <v>32472.727272727272</v>
      </c>
      <c r="J52" s="8">
        <f>'[4]Households and Housing Units'!H19</f>
        <v>34567.803030303032</v>
      </c>
    </row>
    <row r="53" spans="1:12" x14ac:dyDescent="0.3">
      <c r="A53" t="s">
        <v>53</v>
      </c>
      <c r="B53" t="s">
        <v>64</v>
      </c>
      <c r="C53" t="s">
        <v>14</v>
      </c>
      <c r="D53" s="8">
        <f>'[4]Households and Housing Units'!B40</f>
        <v>1007706.7445437734</v>
      </c>
      <c r="E53" s="8">
        <f>'[4]Households and Housing Units'!C40</f>
        <v>1023642.5981423013</v>
      </c>
      <c r="F53" s="8">
        <f>'[4]Households and Housing Units'!D40</f>
        <v>1073184.3401550374</v>
      </c>
      <c r="G53" s="8">
        <f>'[4]Households and Housing Units'!E40</f>
        <v>1129047.7806016137</v>
      </c>
      <c r="H53" s="8">
        <f>'[4]Households and Housing Units'!F40</f>
        <v>1175283.5672471765</v>
      </c>
      <c r="I53" s="8">
        <f>'[4]Households and Housing Units'!G40</f>
        <v>1215617.3670339105</v>
      </c>
      <c r="J53" s="8">
        <f>'[4]Households and Housing Units'!H40</f>
        <v>1252563.5594214879</v>
      </c>
    </row>
    <row r="54" spans="1:12" x14ac:dyDescent="0.3">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3">
      <c r="A55" t="s">
        <v>18</v>
      </c>
      <c r="B55" t="s">
        <v>64</v>
      </c>
      <c r="C55" t="s">
        <v>14</v>
      </c>
      <c r="D55" s="8">
        <f>'[4]Households and Housing Units'!B25</f>
        <v>78118.110272349833</v>
      </c>
      <c r="E55" s="8">
        <f>'[4]Households and Housing Units'!C25</f>
        <v>89850.995756635995</v>
      </c>
      <c r="F55" s="8">
        <f>'[4]Households and Housing Units'!D25</f>
        <v>101106.73557506967</v>
      </c>
      <c r="G55" s="8">
        <f>'[4]Households and Housing Units'!E25</f>
        <v>112930.15576881029</v>
      </c>
      <c r="H55" s="8">
        <f>'[4]Households and Housing Units'!F25</f>
        <v>123871.36887506816</v>
      </c>
      <c r="I55" s="8">
        <f>'[4]Households and Housing Units'!G25</f>
        <v>134279.88883520477</v>
      </c>
      <c r="J55" s="8">
        <f>'[4]Households and Housing Units'!H25</f>
        <v>144305.92835179277</v>
      </c>
    </row>
    <row r="56" spans="1:12" x14ac:dyDescent="0.3">
      <c r="A56" t="s">
        <v>19</v>
      </c>
      <c r="B56" t="s">
        <v>64</v>
      </c>
      <c r="C56" t="s">
        <v>14</v>
      </c>
      <c r="D56" s="8">
        <f>'[4]Households and Housing Units'!B26</f>
        <v>62900.065001515526</v>
      </c>
      <c r="E56" s="8">
        <f>'[4]Households and Housing Units'!C26</f>
        <v>64772.098242800428</v>
      </c>
      <c r="F56" s="8">
        <f>'[4]Households and Housing Units'!D26</f>
        <v>68436.789884863145</v>
      </c>
      <c r="G56" s="8">
        <f>'[4]Households and Housing Units'!E26</f>
        <v>72197.519729530657</v>
      </c>
      <c r="H56" s="8">
        <f>'[4]Households and Housing Units'!F26</f>
        <v>75694.1409936821</v>
      </c>
      <c r="I56" s="8">
        <f>'[4]Households and Housing Units'!G26</f>
        <v>78990.39399638414</v>
      </c>
      <c r="J56" s="8">
        <f>'[4]Households and Housing Units'!H26</f>
        <v>82065.494631212743</v>
      </c>
      <c r="L56" s="2"/>
    </row>
    <row r="57" spans="1:12" x14ac:dyDescent="0.3">
      <c r="A57" t="s">
        <v>44</v>
      </c>
      <c r="B57" t="s">
        <v>64</v>
      </c>
      <c r="C57" t="s">
        <v>14</v>
      </c>
      <c r="D57" s="8">
        <f>'[4]Households and Housing Units'!B27</f>
        <v>12959.717452026909</v>
      </c>
      <c r="E57" s="8">
        <f>'[4]Households and Housing Units'!C27</f>
        <v>12632.207565521598</v>
      </c>
      <c r="F57" s="8">
        <f>'[4]Households and Housing Units'!D27</f>
        <v>12908.718353130655</v>
      </c>
      <c r="G57" s="8">
        <f>'[4]Households and Housing Units'!E27</f>
        <v>13137.226562660404</v>
      </c>
      <c r="H57" s="8">
        <f>'[4]Households and Housing Units'!F27</f>
        <v>13391.272981705424</v>
      </c>
      <c r="I57" s="8">
        <f>'[4]Households and Housing Units'!G27</f>
        <v>13644.912840821866</v>
      </c>
      <c r="J57" s="8">
        <f>'[4]Households and Housing Units'!H27</f>
        <v>13861.21290667062</v>
      </c>
      <c r="L57" s="2"/>
    </row>
    <row r="58" spans="1:12" x14ac:dyDescent="0.3">
      <c r="A58" t="s">
        <v>20</v>
      </c>
      <c r="B58" t="s">
        <v>64</v>
      </c>
      <c r="C58" t="s">
        <v>14</v>
      </c>
      <c r="D58" s="8">
        <f>'[4]Households and Housing Units'!B28</f>
        <v>567028.37717431888</v>
      </c>
      <c r="E58" s="8">
        <f>'[4]Households and Housing Units'!C28</f>
        <v>578170.23256435327</v>
      </c>
      <c r="F58" s="8">
        <f>'[4]Households and Housing Units'!D28</f>
        <v>602892.67712969484</v>
      </c>
      <c r="G58" s="8">
        <f>'[4]Households and Housing Units'!E28</f>
        <v>631309.38483333518</v>
      </c>
      <c r="H58" s="8">
        <f>'[4]Households and Housing Units'!F28</f>
        <v>654157.26302249788</v>
      </c>
      <c r="I58" s="8">
        <f>'[4]Households and Housing Units'!G28</f>
        <v>673602.49725562707</v>
      </c>
      <c r="J58" s="8">
        <f>'[4]Households and Housing Units'!H28</f>
        <v>691173.5992834717</v>
      </c>
    </row>
    <row r="59" spans="1:12" x14ac:dyDescent="0.3">
      <c r="A59" t="s">
        <v>45</v>
      </c>
      <c r="B59" t="s">
        <v>64</v>
      </c>
      <c r="C59" t="s">
        <v>14</v>
      </c>
      <c r="D59" s="8">
        <f>'[4]Households and Housing Units'!B29</f>
        <v>13308.632058178353</v>
      </c>
      <c r="E59" s="8">
        <f>'[4]Households and Housing Units'!C29</f>
        <v>11939.222886231993</v>
      </c>
      <c r="F59" s="8">
        <f>'[4]Households and Housing Units'!D29</f>
        <v>11872.680510981079</v>
      </c>
      <c r="G59" s="8">
        <f>'[4]Households and Housing Units'!E29</f>
        <v>11780.356388883729</v>
      </c>
      <c r="H59" s="8">
        <f>'[4]Households and Housing Units'!F29</f>
        <v>11697.141410319467</v>
      </c>
      <c r="I59" s="8">
        <f>'[4]Households and Housing Units'!G29</f>
        <v>11603.688046293422</v>
      </c>
      <c r="J59" s="8">
        <f>'[4]Households and Housing Units'!H29</f>
        <v>11478.965828778975</v>
      </c>
    </row>
    <row r="60" spans="1:12" x14ac:dyDescent="0.3">
      <c r="A60" t="s">
        <v>46</v>
      </c>
      <c r="B60" t="s">
        <v>64</v>
      </c>
      <c r="C60" t="s">
        <v>14</v>
      </c>
      <c r="D60" s="8">
        <f>'[4]Households and Housing Units'!B30</f>
        <v>26331.464977965825</v>
      </c>
      <c r="E60" s="8">
        <f>'[4]Households and Housing Units'!C30</f>
        <v>25040.267517642667</v>
      </c>
      <c r="F60" s="8">
        <f>'[4]Households and Housing Units'!D30</f>
        <v>25545.280529872802</v>
      </c>
      <c r="G60" s="8">
        <f>'[4]Households and Housing Units'!E30</f>
        <v>26121.623083338196</v>
      </c>
      <c r="H60" s="8">
        <f>'[4]Households and Housing Units'!F30</f>
        <v>26560.02415873779</v>
      </c>
      <c r="I60" s="8">
        <f>'[4]Households and Housing Units'!G30</f>
        <v>26903.029190797286</v>
      </c>
      <c r="J60" s="8">
        <f>'[4]Households and Housing Units'!H30</f>
        <v>27172.186896102765</v>
      </c>
    </row>
    <row r="61" spans="1:12" x14ac:dyDescent="0.3">
      <c r="A61" t="s">
        <v>21</v>
      </c>
      <c r="B61" t="s">
        <v>64</v>
      </c>
      <c r="C61" t="s">
        <v>14</v>
      </c>
      <c r="D61" s="8">
        <f>'[4]Households and Housing Units'!B31</f>
        <v>72348.571468226306</v>
      </c>
      <c r="E61" s="8">
        <f>'[4]Households and Housing Units'!C31</f>
        <v>73410.200531692884</v>
      </c>
      <c r="F61" s="8">
        <f>'[4]Households and Housing Units'!D31</f>
        <v>77308.70975235579</v>
      </c>
      <c r="G61" s="8">
        <f>'[4]Households and Housing Units'!E31</f>
        <v>83318.459501214587</v>
      </c>
      <c r="H61" s="8">
        <f>'[4]Households and Housing Units'!F31</f>
        <v>86741.595509421531</v>
      </c>
      <c r="I61" s="8">
        <f>'[4]Households and Housing Units'!G31</f>
        <v>88794.244514833277</v>
      </c>
      <c r="J61" s="8">
        <f>'[4]Households and Housing Units'!H31</f>
        <v>90600.932082701795</v>
      </c>
    </row>
    <row r="62" spans="1:12" x14ac:dyDescent="0.3">
      <c r="A62" t="s">
        <v>47</v>
      </c>
      <c r="B62" t="s">
        <v>64</v>
      </c>
      <c r="C62" t="s">
        <v>14</v>
      </c>
      <c r="D62" s="8">
        <f>'[4]Households and Housing Units'!B32</f>
        <v>23836.701115451906</v>
      </c>
      <c r="E62" s="8">
        <f>'[4]Households and Housing Units'!C32</f>
        <v>19802.167470978518</v>
      </c>
      <c r="F62" s="8">
        <f>'[4]Households and Housing Units'!D32</f>
        <v>19970.042604725259</v>
      </c>
      <c r="G62" s="8">
        <f>'[4]Households and Housing Units'!E32</f>
        <v>20063.378820749596</v>
      </c>
      <c r="H62" s="8">
        <f>'[4]Households and Housing Units'!F32</f>
        <v>20193.389068250723</v>
      </c>
      <c r="I62" s="8">
        <f>'[4]Households and Housing Units'!G32</f>
        <v>20326.31077553819</v>
      </c>
      <c r="J62" s="8">
        <f>'[4]Households and Housing Units'!H32</f>
        <v>20403.296518393418</v>
      </c>
      <c r="L62" s="2"/>
    </row>
    <row r="63" spans="1:12" x14ac:dyDescent="0.3">
      <c r="A63" t="s">
        <v>22</v>
      </c>
      <c r="B63" t="s">
        <v>64</v>
      </c>
      <c r="C63" t="s">
        <v>14</v>
      </c>
      <c r="D63" s="8">
        <f>'[4]Households and Housing Units'!B33</f>
        <v>15956.862786278114</v>
      </c>
      <c r="E63" s="8">
        <f>'[4]Households and Housing Units'!C33</f>
        <v>16477.156973197554</v>
      </c>
      <c r="F63" s="8">
        <f>'[4]Households and Housing Units'!D33</f>
        <v>17338.303734605357</v>
      </c>
      <c r="G63" s="8">
        <f>'[4]Households and Housing Units'!E33</f>
        <v>18199.274303413313</v>
      </c>
      <c r="H63" s="8">
        <f>'[4]Households and Housing Units'!F33</f>
        <v>19022.055129515229</v>
      </c>
      <c r="I63" s="8">
        <f>'[4]Households and Housing Units'!G33</f>
        <v>19807.272305442544</v>
      </c>
      <c r="J63" s="8">
        <f>'[4]Households and Housing Units'!H33</f>
        <v>20537.090511097416</v>
      </c>
      <c r="L63" s="2"/>
    </row>
    <row r="64" spans="1:12" x14ac:dyDescent="0.3">
      <c r="A64" t="s">
        <v>48</v>
      </c>
      <c r="B64" t="s">
        <v>64</v>
      </c>
      <c r="C64" t="s">
        <v>14</v>
      </c>
      <c r="D64" s="8">
        <f>'[4]Households and Housing Units'!B34</f>
        <v>27935.493881974326</v>
      </c>
      <c r="E64" s="8">
        <f>'[4]Households and Housing Units'!C34</f>
        <v>25793.492548875591</v>
      </c>
      <c r="F64" s="8">
        <f>'[4]Households and Housing Units'!D34</f>
        <v>25776.591461969252</v>
      </c>
      <c r="G64" s="8">
        <f>'[4]Households and Housing Units'!E34</f>
        <v>25733.165824790362</v>
      </c>
      <c r="H64" s="8">
        <f>'[4]Households and Housing Units'!F34</f>
        <v>25664.606094221632</v>
      </c>
      <c r="I64" s="8">
        <f>'[4]Households and Housing Units'!G34</f>
        <v>25553.15987797681</v>
      </c>
      <c r="J64" s="8">
        <f>'[4]Households and Housing Units'!H34</f>
        <v>25371.772593765862</v>
      </c>
      <c r="L64" s="2"/>
    </row>
    <row r="65" spans="1:12" x14ac:dyDescent="0.3">
      <c r="A65" t="s">
        <v>49</v>
      </c>
      <c r="B65" t="s">
        <v>64</v>
      </c>
      <c r="C65" t="s">
        <v>14</v>
      </c>
      <c r="D65" s="8">
        <f>'[4]Households and Housing Units'!B35</f>
        <v>14258.132048274012</v>
      </c>
      <c r="E65" s="8">
        <f>'[4]Households and Housing Units'!C35</f>
        <v>14163.567559554631</v>
      </c>
      <c r="F65" s="8">
        <f>'[4]Households and Housing Units'!D35</f>
        <v>14671.102137492231</v>
      </c>
      <c r="G65" s="8">
        <f>'[4]Households and Housing Units'!E35</f>
        <v>15276.572942704059</v>
      </c>
      <c r="H65" s="8">
        <f>'[4]Households and Housing Units'!F35</f>
        <v>15737.898182093253</v>
      </c>
      <c r="I65" s="8">
        <f>'[4]Households and Housing Units'!G35</f>
        <v>16112.362654164626</v>
      </c>
      <c r="J65" s="8">
        <f>'[4]Households and Housing Units'!H35</f>
        <v>16442.121708534189</v>
      </c>
      <c r="L65" s="2"/>
    </row>
    <row r="66" spans="1:12" x14ac:dyDescent="0.3">
      <c r="A66" t="s">
        <v>50</v>
      </c>
      <c r="B66" t="s">
        <v>64</v>
      </c>
      <c r="C66" t="s">
        <v>14</v>
      </c>
      <c r="D66" s="8">
        <f>'[4]Households and Housing Units'!B36</f>
        <v>15110.372976638864</v>
      </c>
      <c r="E66" s="8">
        <f>'[4]Households and Housing Units'!C36</f>
        <v>14148.818334087462</v>
      </c>
      <c r="F66" s="8">
        <f>'[4]Households and Housing Units'!D36</f>
        <v>14386.574447686917</v>
      </c>
      <c r="G66" s="8">
        <f>'[4]Households and Housing Units'!E36</f>
        <v>14617.967774424251</v>
      </c>
      <c r="H66" s="8">
        <f>'[4]Households and Housing Units'!F36</f>
        <v>14824.369306190054</v>
      </c>
      <c r="I66" s="8">
        <f>'[4]Households and Housing Units'!G36</f>
        <v>15003.556024950127</v>
      </c>
      <c r="J66" s="8">
        <f>'[4]Households and Housing Units'!H36</f>
        <v>15141.344254956335</v>
      </c>
      <c r="L66" s="2"/>
    </row>
    <row r="67" spans="1:12" x14ac:dyDescent="0.3">
      <c r="A67" t="s">
        <v>23</v>
      </c>
      <c r="B67" t="s">
        <v>64</v>
      </c>
      <c r="C67" t="s">
        <v>14</v>
      </c>
      <c r="D67" s="8">
        <f>'[4]Households and Housing Units'!B37</f>
        <v>21746.570465356308</v>
      </c>
      <c r="E67" s="8">
        <f>'[4]Households and Housing Units'!C37</f>
        <v>22255.11806498218</v>
      </c>
      <c r="F67" s="8">
        <f>'[4]Households and Housing Units'!D37</f>
        <v>23557.302288668656</v>
      </c>
      <c r="G67" s="8">
        <f>'[4]Households and Housing Units'!E37</f>
        <v>24850.080736265721</v>
      </c>
      <c r="H67" s="8">
        <f>'[4]Households and Housing Units'!F37</f>
        <v>26101.373733224689</v>
      </c>
      <c r="I67" s="8">
        <f>'[4]Households and Housing Units'!G37</f>
        <v>27308.424504201983</v>
      </c>
      <c r="J67" s="8">
        <f>'[4]Households and Housing Units'!H37</f>
        <v>28438.927128238513</v>
      </c>
      <c r="L67" s="2"/>
    </row>
    <row r="68" spans="1:12" x14ac:dyDescent="0.3">
      <c r="A68" t="s">
        <v>51</v>
      </c>
      <c r="B68" t="s">
        <v>64</v>
      </c>
      <c r="C68" t="s">
        <v>14</v>
      </c>
      <c r="D68" s="8">
        <f>'[4]Households and Housing Units'!B38</f>
        <v>32134.010474214716</v>
      </c>
      <c r="E68" s="8">
        <f>'[4]Households and Housing Units'!C38</f>
        <v>30347.16050394874</v>
      </c>
      <c r="F68" s="8">
        <f>'[4]Households and Housing Units'!D38</f>
        <v>30245.765492984148</v>
      </c>
      <c r="G68" s="8">
        <f>'[4]Households and Housing Units'!E38</f>
        <v>30025.507565692056</v>
      </c>
      <c r="H68" s="8">
        <f>'[4]Households and Housing Units'!F38</f>
        <v>29873.968481103591</v>
      </c>
      <c r="I68" s="8">
        <f>'[4]Households and Housing Units'!G38</f>
        <v>29721.058511764684</v>
      </c>
      <c r="J68" s="8">
        <f>'[4]Households and Housing Units'!H38</f>
        <v>29486.831253597073</v>
      </c>
      <c r="L68" s="2"/>
    </row>
    <row r="69" spans="1:12" x14ac:dyDescent="0.3">
      <c r="A69" t="s">
        <v>24</v>
      </c>
      <c r="B69" t="s">
        <v>64</v>
      </c>
      <c r="C69" t="s">
        <v>14</v>
      </c>
      <c r="D69" s="8">
        <f>'[4]Households and Housing Units'!B39</f>
        <v>23733.662391003534</v>
      </c>
      <c r="E69" s="8">
        <f>'[4]Households and Housing Units'!C39</f>
        <v>24839.891621797746</v>
      </c>
      <c r="F69" s="8">
        <f>'[4]Households and Housing Units'!D39</f>
        <v>27167.066250937463</v>
      </c>
      <c r="G69" s="8">
        <f>'[4]Households and Housing Units'!E39</f>
        <v>29487.106765801316</v>
      </c>
      <c r="H69" s="8">
        <f>'[4]Households and Housing Units'!F39</f>
        <v>31753.100301145012</v>
      </c>
      <c r="I69" s="8">
        <f>'[4]Households and Housing Units'!G39</f>
        <v>33966.567699909159</v>
      </c>
      <c r="J69" s="8">
        <f>'[4]Households and Housing Units'!H39</f>
        <v>36083.855472173957</v>
      </c>
      <c r="L69" s="2"/>
    </row>
    <row r="70" spans="1:12" x14ac:dyDescent="0.3">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3">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3">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3">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3">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3">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3">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3">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3">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3">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3">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3">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3">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3">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3">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3">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3">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3">
      <c r="A87" t="s">
        <v>53</v>
      </c>
      <c r="B87" t="s">
        <v>65</v>
      </c>
      <c r="C87" t="s">
        <v>15</v>
      </c>
      <c r="D87" s="8">
        <f>'[4]Residential Labor Force'!B20</f>
        <v>1261503.4410983541</v>
      </c>
      <c r="E87" s="8">
        <f>'[4]Residential Labor Force'!C20</f>
        <v>1315849.768810316</v>
      </c>
      <c r="F87" s="8">
        <f>'[4]Residential Labor Force'!D20</f>
        <v>1365890.9289656756</v>
      </c>
      <c r="G87" s="8">
        <f>'[4]Residential Labor Force'!E20</f>
        <v>1438989.9120053146</v>
      </c>
      <c r="H87" s="8">
        <f>'[4]Residential Labor Force'!F20</f>
        <v>1504347.5617117009</v>
      </c>
      <c r="I87" s="8">
        <f>'[4]Residential Labor Force'!G20</f>
        <v>1563711.162216513</v>
      </c>
      <c r="J87" s="8">
        <f>'[4]Residential Labor Force'!H20</f>
        <v>1618862.0830298024</v>
      </c>
    </row>
    <row r="88" spans="1:10" x14ac:dyDescent="0.3">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3">
      <c r="A89" t="s">
        <v>18</v>
      </c>
      <c r="B89" t="s">
        <v>65</v>
      </c>
      <c r="C89" t="s">
        <v>15</v>
      </c>
      <c r="D89" s="8">
        <f>'[4]Residential Labor Force'!B5</f>
        <v>114389.92413126798</v>
      </c>
      <c r="E89" s="8">
        <f>'[4]Residential Labor Force'!C5</f>
        <v>131186.63107932551</v>
      </c>
      <c r="F89" s="8">
        <f>'[4]Residential Labor Force'!D5</f>
        <v>145617.01772124134</v>
      </c>
      <c r="G89" s="8">
        <f>'[4]Residential Labor Force'!E5</f>
        <v>160908.83423406418</v>
      </c>
      <c r="H89" s="8">
        <f>'[4]Residential Labor Force'!F5</f>
        <v>175060.97963970108</v>
      </c>
      <c r="I89" s="8">
        <f>'[4]Residential Labor Force'!G5</f>
        <v>188910.12620136855</v>
      </c>
      <c r="J89" s="8">
        <f>'[4]Residential Labor Force'!H5</f>
        <v>203501.86921322648</v>
      </c>
    </row>
    <row r="90" spans="1:10" x14ac:dyDescent="0.3">
      <c r="A90" t="s">
        <v>19</v>
      </c>
      <c r="B90" t="s">
        <v>65</v>
      </c>
      <c r="C90" t="s">
        <v>15</v>
      </c>
      <c r="D90" s="8">
        <f>'[4]Residential Labor Force'!B6</f>
        <v>79491.903285702196</v>
      </c>
      <c r="E90" s="8">
        <f>'[4]Residential Labor Force'!C6</f>
        <v>83279.83018830081</v>
      </c>
      <c r="F90" s="8">
        <f>'[4]Residential Labor Force'!D6</f>
        <v>86584.286321202089</v>
      </c>
      <c r="G90" s="8">
        <f>'[4]Residential Labor Force'!E6</f>
        <v>91240.898754609778</v>
      </c>
      <c r="H90" s="8">
        <f>'[4]Residential Labor Force'!F6</f>
        <v>96110.935497821672</v>
      </c>
      <c r="I90" s="8">
        <f>'[4]Residential Labor Force'!G6</f>
        <v>101063.43016630705</v>
      </c>
      <c r="J90" s="8">
        <f>'[4]Residential Labor Force'!H6</f>
        <v>105823.14125995073</v>
      </c>
    </row>
    <row r="91" spans="1:10" x14ac:dyDescent="0.3">
      <c r="A91" t="s">
        <v>44</v>
      </c>
      <c r="B91" t="s">
        <v>65</v>
      </c>
      <c r="C91" t="s">
        <v>15</v>
      </c>
      <c r="D91" s="8">
        <f>'[4]Residential Labor Force'!B7</f>
        <v>13091.732367403902</v>
      </c>
      <c r="E91" s="8">
        <f>'[4]Residential Labor Force'!C7</f>
        <v>13259.188003093421</v>
      </c>
      <c r="F91" s="8">
        <f>'[4]Residential Labor Force'!D7</f>
        <v>13500.823800426693</v>
      </c>
      <c r="G91" s="8">
        <f>'[4]Residential Labor Force'!E7</f>
        <v>13710.653946818587</v>
      </c>
      <c r="H91" s="8">
        <f>'[4]Residential Labor Force'!F7</f>
        <v>13907.413869142081</v>
      </c>
      <c r="I91" s="8">
        <f>'[4]Residential Labor Force'!G7</f>
        <v>14167.661040924217</v>
      </c>
      <c r="J91" s="8">
        <f>'[4]Residential Labor Force'!H7</f>
        <v>14477.230914798842</v>
      </c>
    </row>
    <row r="92" spans="1:10" x14ac:dyDescent="0.3">
      <c r="A92" t="s">
        <v>20</v>
      </c>
      <c r="B92" t="s">
        <v>65</v>
      </c>
      <c r="C92" t="s">
        <v>15</v>
      </c>
      <c r="D92" s="8">
        <f>'[4]Residential Labor Force'!B8</f>
        <v>725945.30623729003</v>
      </c>
      <c r="E92" s="8">
        <f>'[4]Residential Labor Force'!C8</f>
        <v>752919.55874096463</v>
      </c>
      <c r="F92" s="8">
        <f>'[4]Residential Labor Force'!D8</f>
        <v>778090.40265000088</v>
      </c>
      <c r="G92" s="8">
        <f>'[4]Residential Labor Force'!E8</f>
        <v>816565.89548856055</v>
      </c>
      <c r="H92" s="8">
        <f>'[4]Residential Labor Force'!F8</f>
        <v>849881.72862449905</v>
      </c>
      <c r="I92" s="8">
        <f>'[4]Residential Labor Force'!G8</f>
        <v>878308.77401864063</v>
      </c>
      <c r="J92" s="8">
        <f>'[4]Residential Labor Force'!H8</f>
        <v>902850.64160867722</v>
      </c>
    </row>
    <row r="93" spans="1:10" x14ac:dyDescent="0.3">
      <c r="A93" t="s">
        <v>45</v>
      </c>
      <c r="B93" t="s">
        <v>65</v>
      </c>
      <c r="C93" t="s">
        <v>15</v>
      </c>
      <c r="D93" s="8">
        <f>'[4]Residential Labor Force'!B9</f>
        <v>13165.576372162826</v>
      </c>
      <c r="E93" s="8">
        <f>'[4]Residential Labor Force'!C9</f>
        <v>12798.856736000202</v>
      </c>
      <c r="F93" s="8">
        <f>'[4]Residential Labor Force'!D9</f>
        <v>12451.436021155878</v>
      </c>
      <c r="G93" s="8">
        <f>'[4]Residential Labor Force'!E9</f>
        <v>12298.913021729726</v>
      </c>
      <c r="H93" s="8">
        <f>'[4]Residential Labor Force'!F9</f>
        <v>12215.301794177216</v>
      </c>
      <c r="I93" s="8">
        <f>'[4]Residential Labor Force'!G9</f>
        <v>12198.688124955257</v>
      </c>
      <c r="J93" s="8">
        <f>'[4]Residential Labor Force'!H9</f>
        <v>12149.162639378845</v>
      </c>
    </row>
    <row r="94" spans="1:10" x14ac:dyDescent="0.3">
      <c r="A94" t="s">
        <v>46</v>
      </c>
      <c r="B94" t="s">
        <v>65</v>
      </c>
      <c r="C94" t="s">
        <v>15</v>
      </c>
      <c r="D94" s="8">
        <f>'[4]Residential Labor Force'!B10</f>
        <v>30451.148846560838</v>
      </c>
      <c r="E94" s="8">
        <f>'[4]Residential Labor Force'!C10</f>
        <v>30390.677056344637</v>
      </c>
      <c r="F94" s="8">
        <f>'[4]Residential Labor Force'!D10</f>
        <v>30385.609568602733</v>
      </c>
      <c r="G94" s="8">
        <f>'[4]Residential Labor Force'!E10</f>
        <v>30961.628892251047</v>
      </c>
      <c r="H94" s="8">
        <f>'[4]Residential Labor Force'!F10</f>
        <v>31618.284535444822</v>
      </c>
      <c r="I94" s="8">
        <f>'[4]Residential Labor Force'!G10</f>
        <v>32387.776757952204</v>
      </c>
      <c r="J94" s="8">
        <f>'[4]Residential Labor Force'!H10</f>
        <v>33079.705622734145</v>
      </c>
    </row>
    <row r="95" spans="1:10" x14ac:dyDescent="0.3">
      <c r="A95" t="s">
        <v>21</v>
      </c>
      <c r="B95" t="s">
        <v>65</v>
      </c>
      <c r="C95" t="s">
        <v>15</v>
      </c>
      <c r="D95" s="8">
        <f>'[4]Residential Labor Force'!B11</f>
        <v>89326.340446150032</v>
      </c>
      <c r="E95" s="8">
        <f>'[4]Residential Labor Force'!C11</f>
        <v>93968.446464219334</v>
      </c>
      <c r="F95" s="8">
        <f>'[4]Residential Labor Force'!D11</f>
        <v>97616.573915163099</v>
      </c>
      <c r="G95" s="8">
        <f>'[4]Residential Labor Force'!E11</f>
        <v>105362.44790178182</v>
      </c>
      <c r="H95" s="8">
        <f>'[4]Residential Labor Force'!F11</f>
        <v>110545.55188525499</v>
      </c>
      <c r="I95" s="8">
        <f>'[4]Residential Labor Force'!G11</f>
        <v>114498.05933479617</v>
      </c>
      <c r="J95" s="8">
        <f>'[4]Residential Labor Force'!H11</f>
        <v>117973.54083389559</v>
      </c>
    </row>
    <row r="96" spans="1:10" x14ac:dyDescent="0.3">
      <c r="A96" t="s">
        <v>47</v>
      </c>
      <c r="B96" t="s">
        <v>65</v>
      </c>
      <c r="C96" t="s">
        <v>15</v>
      </c>
      <c r="D96" s="8">
        <f>'[4]Residential Labor Force'!B12</f>
        <v>22430.256181439574</v>
      </c>
      <c r="E96" s="8">
        <f>'[4]Residential Labor Force'!C12</f>
        <v>21992.6941007102</v>
      </c>
      <c r="F96" s="8">
        <f>'[4]Residential Labor Force'!D12</f>
        <v>21829.166970187638</v>
      </c>
      <c r="G96" s="8">
        <f>'[4]Residential Labor Force'!E12</f>
        <v>21858.222502170138</v>
      </c>
      <c r="H96" s="8">
        <f>'[4]Residential Labor Force'!F12</f>
        <v>22077.684490716943</v>
      </c>
      <c r="I96" s="8">
        <f>'[4]Residential Labor Force'!G12</f>
        <v>22454.509730066988</v>
      </c>
      <c r="J96" s="8">
        <f>'[4]Residential Labor Force'!H12</f>
        <v>22802.332174204665</v>
      </c>
    </row>
    <row r="97" spans="1:10" x14ac:dyDescent="0.3">
      <c r="A97" t="s">
        <v>22</v>
      </c>
      <c r="B97" t="s">
        <v>65</v>
      </c>
      <c r="C97" t="s">
        <v>15</v>
      </c>
      <c r="D97" s="8">
        <f>'[4]Residential Labor Force'!B13</f>
        <v>19955.977767099161</v>
      </c>
      <c r="E97" s="8">
        <f>'[4]Residential Labor Force'!C13</f>
        <v>20969.475901170055</v>
      </c>
      <c r="F97" s="8">
        <f>'[4]Residential Labor Force'!D13</f>
        <v>21734.556661799499</v>
      </c>
      <c r="G97" s="8">
        <f>'[4]Residential Labor Force'!E13</f>
        <v>22718.130020440753</v>
      </c>
      <c r="H97" s="8">
        <f>'[4]Residential Labor Force'!F13</f>
        <v>23730.529323951243</v>
      </c>
      <c r="I97" s="8">
        <f>'[4]Residential Labor Force'!G13</f>
        <v>24704.558350955318</v>
      </c>
      <c r="J97" s="8">
        <f>'[4]Residential Labor Force'!H13</f>
        <v>25715.844141484642</v>
      </c>
    </row>
    <row r="98" spans="1:10" x14ac:dyDescent="0.3">
      <c r="A98" t="s">
        <v>48</v>
      </c>
      <c r="B98" t="s">
        <v>65</v>
      </c>
      <c r="C98" t="s">
        <v>15</v>
      </c>
      <c r="D98" s="8">
        <f>'[4]Residential Labor Force'!B14</f>
        <v>27944.845700350405</v>
      </c>
      <c r="E98" s="8">
        <f>'[4]Residential Labor Force'!C14</f>
        <v>27312.38465740329</v>
      </c>
      <c r="F98" s="8">
        <f>'[4]Residential Labor Force'!D14</f>
        <v>27117.487280889552</v>
      </c>
      <c r="G98" s="8">
        <f>'[4]Residential Labor Force'!E14</f>
        <v>27520.589024146786</v>
      </c>
      <c r="H98" s="8">
        <f>'[4]Residential Labor Force'!F14</f>
        <v>27825.412926366211</v>
      </c>
      <c r="I98" s="8">
        <f>'[4]Residential Labor Force'!G14</f>
        <v>27821.499811460162</v>
      </c>
      <c r="J98" s="8">
        <f>'[4]Residential Labor Force'!H14</f>
        <v>27630.683556300926</v>
      </c>
    </row>
    <row r="99" spans="1:10" x14ac:dyDescent="0.3">
      <c r="A99" t="s">
        <v>49</v>
      </c>
      <c r="B99" t="s">
        <v>65</v>
      </c>
      <c r="C99" t="s">
        <v>15</v>
      </c>
      <c r="D99" s="8">
        <f>'[4]Residential Labor Force'!B15</f>
        <v>18028.606555811461</v>
      </c>
      <c r="E99" s="8">
        <f>'[4]Residential Labor Force'!C15</f>
        <v>18537.802222534559</v>
      </c>
      <c r="F99" s="8">
        <f>'[4]Residential Labor Force'!D15</f>
        <v>18719.360910407075</v>
      </c>
      <c r="G99" s="8">
        <f>'[4]Residential Labor Force'!E15</f>
        <v>19231.718851082951</v>
      </c>
      <c r="H99" s="8">
        <f>'[4]Residential Labor Force'!F15</f>
        <v>19721.208595579676</v>
      </c>
      <c r="I99" s="8">
        <f>'[4]Residential Labor Force'!G15</f>
        <v>20252.884750951809</v>
      </c>
      <c r="J99" s="8">
        <f>'[4]Residential Labor Force'!H15</f>
        <v>20862.089327040179</v>
      </c>
    </row>
    <row r="100" spans="1:10" x14ac:dyDescent="0.3">
      <c r="A100" t="s">
        <v>50</v>
      </c>
      <c r="B100" t="s">
        <v>65</v>
      </c>
      <c r="C100" t="s">
        <v>15</v>
      </c>
      <c r="D100" s="8">
        <f>'[4]Residential Labor Force'!B16</f>
        <v>15798.15878283543</v>
      </c>
      <c r="E100" s="8">
        <f>'[4]Residential Labor Force'!C16</f>
        <v>16047.360468890871</v>
      </c>
      <c r="F100" s="8">
        <f>'[4]Residential Labor Force'!D16</f>
        <v>15991.875835526644</v>
      </c>
      <c r="G100" s="8">
        <f>'[4]Residential Labor Force'!E16</f>
        <v>16126.31460254726</v>
      </c>
      <c r="H100" s="8">
        <f>'[4]Residential Labor Force'!F16</f>
        <v>16343.635406205625</v>
      </c>
      <c r="I100" s="8">
        <f>'[4]Residential Labor Force'!G16</f>
        <v>16611.529587405388</v>
      </c>
      <c r="J100" s="8">
        <f>'[4]Residential Labor Force'!H16</f>
        <v>16898.892868333049</v>
      </c>
    </row>
    <row r="101" spans="1:10" x14ac:dyDescent="0.3">
      <c r="A101" t="s">
        <v>23</v>
      </c>
      <c r="B101" t="s">
        <v>65</v>
      </c>
      <c r="C101" t="s">
        <v>15</v>
      </c>
      <c r="D101" s="8">
        <f>'[4]Residential Labor Force'!B17</f>
        <v>25981.51166926232</v>
      </c>
      <c r="E101" s="8">
        <f>'[4]Residential Labor Force'!C17</f>
        <v>27469.339025035071</v>
      </c>
      <c r="F101" s="8">
        <f>'[4]Residential Labor Force'!D17</f>
        <v>28855.664258845565</v>
      </c>
      <c r="G101" s="8">
        <f>'[4]Residential Labor Force'!E17</f>
        <v>30522.985917565511</v>
      </c>
      <c r="H101" s="8">
        <f>'[4]Residential Labor Force'!F17</f>
        <v>32143.420413626558</v>
      </c>
      <c r="I101" s="8">
        <f>'[4]Residential Labor Force'!G17</f>
        <v>33647.224449790068</v>
      </c>
      <c r="J101" s="8">
        <f>'[4]Residential Labor Force'!H17</f>
        <v>35016.47742959905</v>
      </c>
    </row>
    <row r="102" spans="1:10" x14ac:dyDescent="0.3">
      <c r="A102" t="s">
        <v>51</v>
      </c>
      <c r="B102" t="s">
        <v>65</v>
      </c>
      <c r="C102" t="s">
        <v>15</v>
      </c>
      <c r="D102" s="8">
        <f>'[4]Residential Labor Force'!B18</f>
        <v>32772.718199238792</v>
      </c>
      <c r="E102" s="8">
        <f>'[4]Residential Labor Force'!C18</f>
        <v>31952.618047856249</v>
      </c>
      <c r="F102" s="8">
        <f>'[4]Residential Labor Force'!D18</f>
        <v>31415.917286194868</v>
      </c>
      <c r="G102" s="8">
        <f>'[4]Residential Labor Force'!E18</f>
        <v>31196.237741315228</v>
      </c>
      <c r="H102" s="8">
        <f>'[4]Residential Labor Force'!F18</f>
        <v>31158.517859491578</v>
      </c>
      <c r="I102" s="8">
        <f>'[4]Residential Labor Force'!G18</f>
        <v>31132.927231552934</v>
      </c>
      <c r="J102" s="8">
        <f>'[4]Residential Labor Force'!H18</f>
        <v>31090.099695485649</v>
      </c>
    </row>
    <row r="103" spans="1:10" x14ac:dyDescent="0.3">
      <c r="A103" t="s">
        <v>24</v>
      </c>
      <c r="B103" t="s">
        <v>65</v>
      </c>
      <c r="C103" t="s">
        <v>15</v>
      </c>
      <c r="D103" s="8">
        <f>'[4]Residential Labor Force'!B19</f>
        <v>32729.434555779168</v>
      </c>
      <c r="E103" s="8">
        <f>'[4]Residential Labor Force'!C19</f>
        <v>33764.906118467326</v>
      </c>
      <c r="F103" s="8">
        <f>'[4]Residential Labor Force'!D19</f>
        <v>35980.749764032029</v>
      </c>
      <c r="G103" s="8">
        <f>'[4]Residential Labor Force'!E19</f>
        <v>38766.441106230028</v>
      </c>
      <c r="H103" s="8">
        <f>'[4]Residential Labor Force'!F19</f>
        <v>42006.95684972193</v>
      </c>
      <c r="I103" s="8">
        <f>'[4]Residential Labor Force'!G19</f>
        <v>45551.512659386048</v>
      </c>
      <c r="J103" s="8">
        <f>'[4]Residential Labor Force'!H19</f>
        <v>48990.371744692784</v>
      </c>
    </row>
    <row r="104" spans="1:10" x14ac:dyDescent="0.3">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3">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3">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3">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3">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3">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3">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3">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3">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3">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3">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3">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3">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3">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3">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3">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3">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3">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3">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3">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3">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3">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3">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3">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3">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3">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3">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3">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3">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3">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3">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3">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3">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3">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3">
      <c r="A138" t="s">
        <v>53</v>
      </c>
      <c r="B138" t="s">
        <v>10</v>
      </c>
      <c r="C138" t="s">
        <v>10</v>
      </c>
      <c r="D138" s="8">
        <f>'[4]Total Population'!F20</f>
        <v>2421159</v>
      </c>
      <c r="E138" s="8">
        <f>'[4]Total Population'!H20</f>
        <v>2555315</v>
      </c>
      <c r="F138" s="8">
        <f>'[4]Total Population'!J20</f>
        <v>2676926</v>
      </c>
      <c r="G138" s="8">
        <f>'[4]Total Population'!L20</f>
        <v>2827180</v>
      </c>
      <c r="H138" s="8">
        <f>'[4]Total Population'!N20</f>
        <v>2944699</v>
      </c>
      <c r="I138" s="8">
        <f>'[4]Total Population'!P20</f>
        <v>3045854</v>
      </c>
      <c r="J138" s="8">
        <f>'[4]Total Population'!R20</f>
        <v>3147011</v>
      </c>
    </row>
    <row r="139" spans="1:10" x14ac:dyDescent="0.3">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3">
      <c r="A140" t="s">
        <v>18</v>
      </c>
      <c r="B140" t="s">
        <v>10</v>
      </c>
      <c r="C140" t="s">
        <v>10</v>
      </c>
      <c r="D140" s="8">
        <f>'[4]Total Population'!F5</f>
        <v>215062</v>
      </c>
      <c r="E140" s="8">
        <f>'[4]Total Population'!H5</f>
        <v>247016</v>
      </c>
      <c r="F140" s="8">
        <f>'[4]Total Population'!J5</f>
        <v>277484</v>
      </c>
      <c r="G140" s="8">
        <f>'[4]Total Population'!L5</f>
        <v>310863</v>
      </c>
      <c r="H140" s="8">
        <f>'[4]Total Population'!N5</f>
        <v>340917</v>
      </c>
      <c r="I140" s="8">
        <f>'[4]Total Population'!P5</f>
        <v>369307</v>
      </c>
      <c r="J140" s="8">
        <f>'[4]Total Population'!R5</f>
        <v>397697</v>
      </c>
    </row>
    <row r="141" spans="1:10" x14ac:dyDescent="0.3">
      <c r="A141" t="s">
        <v>19</v>
      </c>
      <c r="B141" t="s">
        <v>10</v>
      </c>
      <c r="C141" t="s">
        <v>10</v>
      </c>
      <c r="D141" s="8">
        <f>'[4]Total Population'!F6</f>
        <v>159357</v>
      </c>
      <c r="E141" s="8">
        <f>'[4]Total Population'!H6</f>
        <v>169183</v>
      </c>
      <c r="F141" s="8">
        <f>'[4]Total Population'!J6</f>
        <v>178449</v>
      </c>
      <c r="G141" s="8">
        <f>'[4]Total Population'!L6</f>
        <v>188820</v>
      </c>
      <c r="H141" s="8">
        <f>'[4]Total Population'!N6</f>
        <v>197928</v>
      </c>
      <c r="I141" s="8">
        <f>'[4]Total Population'!P6</f>
        <v>206404</v>
      </c>
      <c r="J141" s="8">
        <f>'[4]Total Population'!R6</f>
        <v>214880</v>
      </c>
    </row>
    <row r="142" spans="1:10" x14ac:dyDescent="0.3">
      <c r="A142" t="s">
        <v>44</v>
      </c>
      <c r="B142" t="s">
        <v>10</v>
      </c>
      <c r="C142" t="s">
        <v>10</v>
      </c>
      <c r="D142" s="8">
        <f>'[4]Total Population'!F7</f>
        <v>28939</v>
      </c>
      <c r="E142" s="8">
        <f>'[4]Total Population'!H7</f>
        <v>29419</v>
      </c>
      <c r="F142" s="8">
        <f>'[4]Total Population'!J7</f>
        <v>30011</v>
      </c>
      <c r="G142" s="8">
        <f>'[4]Total Population'!L7</f>
        <v>30634</v>
      </c>
      <c r="H142" s="8">
        <f>'[4]Total Population'!N7</f>
        <v>31220</v>
      </c>
      <c r="I142" s="8">
        <f>'[4]Total Population'!P7</f>
        <v>31790</v>
      </c>
      <c r="J142" s="8">
        <f>'[4]Total Population'!R7</f>
        <v>32360</v>
      </c>
    </row>
    <row r="143" spans="1:10" x14ac:dyDescent="0.3">
      <c r="A143" t="s">
        <v>20</v>
      </c>
      <c r="B143" t="s">
        <v>10</v>
      </c>
      <c r="C143" t="s">
        <v>10</v>
      </c>
      <c r="D143" s="8">
        <f>'[4]Total Population'!F8</f>
        <v>1324013</v>
      </c>
      <c r="E143" s="8">
        <f>'[4]Total Population'!H8</f>
        <v>1390127</v>
      </c>
      <c r="F143" s="8">
        <f>'[4]Total Population'!J8</f>
        <v>1447090</v>
      </c>
      <c r="G143" s="8">
        <f>'[4]Total Population'!L8</f>
        <v>1519844</v>
      </c>
      <c r="H143" s="8">
        <f>'[4]Total Population'!N8</f>
        <v>1574551</v>
      </c>
      <c r="I143" s="8">
        <f>'[4]Total Population'!P8</f>
        <v>1620232</v>
      </c>
      <c r="J143" s="8">
        <f>'[4]Total Population'!R8</f>
        <v>1665914</v>
      </c>
    </row>
    <row r="144" spans="1:10" x14ac:dyDescent="0.3">
      <c r="A144" t="s">
        <v>45</v>
      </c>
      <c r="B144" t="s">
        <v>10</v>
      </c>
      <c r="C144" t="s">
        <v>10</v>
      </c>
      <c r="D144" s="8">
        <f>'[4]Total Population'!F9</f>
        <v>27999</v>
      </c>
      <c r="E144" s="8">
        <f>'[4]Total Population'!H9</f>
        <v>27965</v>
      </c>
      <c r="F144" s="8">
        <f>'[4]Total Population'!J9</f>
        <v>27762</v>
      </c>
      <c r="G144" s="8">
        <f>'[4]Total Population'!L9</f>
        <v>27629</v>
      </c>
      <c r="H144" s="8">
        <f>'[4]Total Population'!N9</f>
        <v>27428</v>
      </c>
      <c r="I144" s="8">
        <f>'[4]Total Population'!P9</f>
        <v>27190</v>
      </c>
      <c r="J144" s="8">
        <f>'[4]Total Population'!R9</f>
        <v>26953</v>
      </c>
    </row>
    <row r="145" spans="1:10" x14ac:dyDescent="0.3">
      <c r="A145" t="s">
        <v>46</v>
      </c>
      <c r="B145" t="s">
        <v>10</v>
      </c>
      <c r="C145" t="s">
        <v>10</v>
      </c>
      <c r="D145" s="8">
        <f>'[4]Total Population'!F10</f>
        <v>62765</v>
      </c>
      <c r="E145" s="8">
        <f>'[4]Total Population'!H10</f>
        <v>64157</v>
      </c>
      <c r="F145" s="8">
        <f>'[4]Total Population'!J10</f>
        <v>65339</v>
      </c>
      <c r="G145" s="8">
        <f>'[4]Total Population'!L10</f>
        <v>67013</v>
      </c>
      <c r="H145" s="8">
        <f>'[4]Total Population'!N10</f>
        <v>68125</v>
      </c>
      <c r="I145" s="8">
        <f>'[4]Total Population'!P10</f>
        <v>68957</v>
      </c>
      <c r="J145" s="8">
        <f>'[4]Total Population'!R10</f>
        <v>69790</v>
      </c>
    </row>
    <row r="146" spans="1:10" x14ac:dyDescent="0.3">
      <c r="A146" t="s">
        <v>21</v>
      </c>
      <c r="B146" t="s">
        <v>10</v>
      </c>
      <c r="C146" t="s">
        <v>10</v>
      </c>
      <c r="D146" s="8">
        <f>'[4]Total Population'!F11</f>
        <v>178680</v>
      </c>
      <c r="E146" s="8">
        <f>'[4]Total Population'!H11</f>
        <v>190915</v>
      </c>
      <c r="F146" s="8">
        <f>'[4]Total Population'!J11</f>
        <v>200710</v>
      </c>
      <c r="G146" s="8">
        <f>'[4]Total Population'!L11</f>
        <v>216962</v>
      </c>
      <c r="H146" s="8">
        <f>'[4]Total Population'!N11</f>
        <v>225833</v>
      </c>
      <c r="I146" s="8">
        <f>'[4]Total Population'!P11</f>
        <v>231017</v>
      </c>
      <c r="J146" s="8">
        <f>'[4]Total Population'!R11</f>
        <v>236202</v>
      </c>
    </row>
    <row r="147" spans="1:10" x14ac:dyDescent="0.3">
      <c r="A147" t="s">
        <v>47</v>
      </c>
      <c r="B147" t="s">
        <v>10</v>
      </c>
      <c r="C147" t="s">
        <v>10</v>
      </c>
      <c r="D147" s="8">
        <f>'[4]Total Population'!F12</f>
        <v>46065</v>
      </c>
      <c r="E147" s="8">
        <f>'[4]Total Population'!H12</f>
        <v>46095</v>
      </c>
      <c r="F147" s="8">
        <f>'[4]Total Population'!J12</f>
        <v>46407</v>
      </c>
      <c r="G147" s="8">
        <f>'[4]Total Population'!L12</f>
        <v>46763</v>
      </c>
      <c r="H147" s="8">
        <f>'[4]Total Population'!N12</f>
        <v>47058</v>
      </c>
      <c r="I147" s="8">
        <f>'[4]Total Population'!P12</f>
        <v>47335</v>
      </c>
      <c r="J147" s="8">
        <f>'[4]Total Population'!R12</f>
        <v>47611</v>
      </c>
    </row>
    <row r="148" spans="1:10" x14ac:dyDescent="0.3">
      <c r="A148" t="s">
        <v>22</v>
      </c>
      <c r="B148" t="s">
        <v>10</v>
      </c>
      <c r="C148" t="s">
        <v>10</v>
      </c>
      <c r="D148" s="8">
        <f>'[4]Total Population'!F13</f>
        <v>43823</v>
      </c>
      <c r="E148" s="8">
        <f>'[4]Total Population'!H13</f>
        <v>46487</v>
      </c>
      <c r="F148" s="8">
        <f>'[4]Total Population'!J13</f>
        <v>48833</v>
      </c>
      <c r="G148" s="8">
        <f>'[4]Total Population'!L13</f>
        <v>51412</v>
      </c>
      <c r="H148" s="8">
        <f>'[4]Total Population'!N13</f>
        <v>53726</v>
      </c>
      <c r="I148" s="8">
        <f>'[4]Total Population'!P13</f>
        <v>55905</v>
      </c>
      <c r="J148" s="8">
        <f>'[4]Total Population'!R13</f>
        <v>58084</v>
      </c>
    </row>
    <row r="149" spans="1:10" x14ac:dyDescent="0.3">
      <c r="A149" t="s">
        <v>48</v>
      </c>
      <c r="B149" t="s">
        <v>10</v>
      </c>
      <c r="C149" t="s">
        <v>10</v>
      </c>
      <c r="D149" s="8">
        <f>'[4]Total Population'!F14</f>
        <v>65363</v>
      </c>
      <c r="E149" s="8">
        <f>'[4]Total Population'!H14</f>
        <v>65314</v>
      </c>
      <c r="F149" s="8">
        <f>'[4]Total Population'!J14</f>
        <v>65160</v>
      </c>
      <c r="G149" s="8">
        <f>'[4]Total Population'!L14</f>
        <v>65246</v>
      </c>
      <c r="H149" s="8">
        <f>'[4]Total Population'!N14</f>
        <v>65059</v>
      </c>
      <c r="I149" s="8">
        <f>'[4]Total Population'!P14</f>
        <v>64732</v>
      </c>
      <c r="J149" s="8">
        <f>'[4]Total Population'!R14</f>
        <v>64405</v>
      </c>
    </row>
    <row r="150" spans="1:10" x14ac:dyDescent="0.3">
      <c r="A150" t="s">
        <v>49</v>
      </c>
      <c r="B150" t="s">
        <v>10</v>
      </c>
      <c r="C150" t="s">
        <v>10</v>
      </c>
      <c r="D150" s="8">
        <f>'[4]Total Population'!F15</f>
        <v>34964</v>
      </c>
      <c r="E150" s="8">
        <f>'[4]Total Population'!H15</f>
        <v>36425</v>
      </c>
      <c r="F150" s="8">
        <f>'[4]Total Population'!J15</f>
        <v>37666</v>
      </c>
      <c r="G150" s="8">
        <f>'[4]Total Population'!L15</f>
        <v>39338</v>
      </c>
      <c r="H150" s="8">
        <f>'[4]Total Population'!N15</f>
        <v>40519</v>
      </c>
      <c r="I150" s="8">
        <f>'[4]Total Population'!P15</f>
        <v>41454</v>
      </c>
      <c r="J150" s="8">
        <f>'[4]Total Population'!R15</f>
        <v>42389</v>
      </c>
    </row>
    <row r="151" spans="1:10" x14ac:dyDescent="0.3">
      <c r="A151" t="s">
        <v>50</v>
      </c>
      <c r="B151" t="s">
        <v>10</v>
      </c>
      <c r="C151" t="s">
        <v>10</v>
      </c>
      <c r="D151" s="8">
        <f>'[4]Total Population'!F16</f>
        <v>35439</v>
      </c>
      <c r="E151" s="8">
        <f>'[4]Total Population'!H16</f>
        <v>36859</v>
      </c>
      <c r="F151" s="8">
        <f>'[4]Total Population'!J16</f>
        <v>37415</v>
      </c>
      <c r="G151" s="8">
        <f>'[4]Total Population'!L16</f>
        <v>38131</v>
      </c>
      <c r="H151" s="8">
        <f>'[4]Total Population'!N16</f>
        <v>38662</v>
      </c>
      <c r="I151" s="8">
        <f>'[4]Total Population'!P16</f>
        <v>39102</v>
      </c>
      <c r="J151" s="8">
        <f>'[4]Total Population'!R16</f>
        <v>39542</v>
      </c>
    </row>
    <row r="152" spans="1:10" x14ac:dyDescent="0.3">
      <c r="A152" t="s">
        <v>23</v>
      </c>
      <c r="B152" t="s">
        <v>10</v>
      </c>
      <c r="C152" t="s">
        <v>10</v>
      </c>
      <c r="D152" s="8">
        <f>'[4]Total Population'!F17</f>
        <v>58628</v>
      </c>
      <c r="E152" s="8">
        <f>'[4]Total Population'!H17</f>
        <v>62355</v>
      </c>
      <c r="F152" s="8">
        <f>'[4]Total Population'!J17</f>
        <v>65891</v>
      </c>
      <c r="G152" s="8">
        <f>'[4]Total Population'!L17</f>
        <v>69716</v>
      </c>
      <c r="H152" s="8">
        <f>'[4]Total Population'!N17</f>
        <v>73212</v>
      </c>
      <c r="I152" s="8">
        <f>'[4]Total Population'!P17</f>
        <v>76545</v>
      </c>
      <c r="J152" s="8">
        <f>'[4]Total Population'!R17</f>
        <v>79877</v>
      </c>
    </row>
    <row r="153" spans="1:10" x14ac:dyDescent="0.3">
      <c r="A153" t="s">
        <v>51</v>
      </c>
      <c r="B153" t="s">
        <v>10</v>
      </c>
      <c r="C153" t="s">
        <v>10</v>
      </c>
      <c r="D153" s="8">
        <f>'[4]Total Population'!F18</f>
        <v>76985</v>
      </c>
      <c r="E153" s="8">
        <f>'[4]Total Population'!H18</f>
        <v>76590</v>
      </c>
      <c r="F153" s="8">
        <f>'[4]Total Population'!J18</f>
        <v>76204</v>
      </c>
      <c r="G153" s="8">
        <f>'[4]Total Population'!L18</f>
        <v>75876</v>
      </c>
      <c r="H153" s="8">
        <f>'[4]Total Population'!N18</f>
        <v>75478</v>
      </c>
      <c r="I153" s="8">
        <f>'[4]Total Population'!P18</f>
        <v>75040</v>
      </c>
      <c r="J153" s="8">
        <f>'[4]Total Population'!R18</f>
        <v>74602</v>
      </c>
    </row>
    <row r="154" spans="1:10" x14ac:dyDescent="0.3">
      <c r="A154" t="s">
        <v>24</v>
      </c>
      <c r="B154" t="s">
        <v>10</v>
      </c>
      <c r="C154" t="s">
        <v>10</v>
      </c>
      <c r="D154" s="8">
        <f>'[4]Total Population'!F19</f>
        <v>63077</v>
      </c>
      <c r="E154" s="8">
        <f>'[4]Total Population'!H19</f>
        <v>66408</v>
      </c>
      <c r="F154" s="8">
        <f>'[4]Total Population'!J19</f>
        <v>72505</v>
      </c>
      <c r="G154" s="8">
        <f>'[4]Total Population'!L19</f>
        <v>78933</v>
      </c>
      <c r="H154" s="8">
        <f>'[4]Total Population'!N19</f>
        <v>84983</v>
      </c>
      <c r="I154" s="8">
        <f>'[4]Total Population'!P19</f>
        <v>90844</v>
      </c>
      <c r="J154" s="8">
        <f>'[4]Total Population'!R19</f>
        <v>96705</v>
      </c>
    </row>
    <row r="155" spans="1:10" x14ac:dyDescent="0.3">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3">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3">
      <c r="A157" t="s">
        <v>18</v>
      </c>
      <c r="B157" t="s">
        <v>10</v>
      </c>
      <c r="C157" t="s">
        <v>126</v>
      </c>
      <c r="D157" s="2"/>
      <c r="E157" s="2">
        <v>1425</v>
      </c>
      <c r="F157" s="2">
        <v>9734</v>
      </c>
      <c r="G157" s="2">
        <v>18386</v>
      </c>
      <c r="H157" s="2">
        <v>32971</v>
      </c>
      <c r="I157" s="2">
        <v>51461</v>
      </c>
      <c r="J157" s="2">
        <v>71947</v>
      </c>
    </row>
    <row r="158" spans="1:10" x14ac:dyDescent="0.3">
      <c r="A158" t="s">
        <v>19</v>
      </c>
      <c r="B158" t="s">
        <v>10</v>
      </c>
      <c r="C158" t="s">
        <v>126</v>
      </c>
      <c r="D158" s="2"/>
      <c r="E158" s="2">
        <v>2521</v>
      </c>
      <c r="F158" s="2">
        <v>10092</v>
      </c>
      <c r="G158" s="2">
        <v>19235</v>
      </c>
      <c r="H158" s="2">
        <v>31777</v>
      </c>
      <c r="I158" s="2">
        <v>46785</v>
      </c>
      <c r="J158" s="2">
        <v>63424</v>
      </c>
    </row>
    <row r="159" spans="1:10" x14ac:dyDescent="0.3">
      <c r="A159" t="s">
        <v>44</v>
      </c>
      <c r="B159" t="s">
        <v>10</v>
      </c>
      <c r="C159" t="s">
        <v>126</v>
      </c>
      <c r="D159" s="2"/>
      <c r="E159" s="2">
        <v>436</v>
      </c>
      <c r="F159" s="2">
        <v>1205</v>
      </c>
      <c r="G159" s="2">
        <v>2180</v>
      </c>
      <c r="H159" s="2">
        <v>3374</v>
      </c>
      <c r="I159" s="2">
        <v>4744</v>
      </c>
      <c r="J159" s="2">
        <v>6258</v>
      </c>
    </row>
    <row r="160" spans="1:10" x14ac:dyDescent="0.3">
      <c r="A160" t="s">
        <v>20</v>
      </c>
      <c r="B160" t="s">
        <v>10</v>
      </c>
      <c r="C160" t="s">
        <v>126</v>
      </c>
      <c r="D160" s="2"/>
      <c r="E160" s="2">
        <v>19527</v>
      </c>
      <c r="F160" s="2">
        <v>59898</v>
      </c>
      <c r="G160" s="2">
        <v>97336</v>
      </c>
      <c r="H160" s="2">
        <v>163494</v>
      </c>
      <c r="I160" s="2">
        <v>248007</v>
      </c>
      <c r="J160" s="2">
        <v>340914</v>
      </c>
    </row>
    <row r="161" spans="1:10" x14ac:dyDescent="0.3">
      <c r="A161" t="s">
        <v>45</v>
      </c>
      <c r="B161" t="s">
        <v>10</v>
      </c>
      <c r="C161" t="s">
        <v>126</v>
      </c>
      <c r="D161" s="2"/>
      <c r="E161" s="2">
        <v>695</v>
      </c>
      <c r="F161" s="2">
        <v>1989</v>
      </c>
      <c r="G161" s="2">
        <v>3610</v>
      </c>
      <c r="H161" s="2">
        <v>5613</v>
      </c>
      <c r="I161" s="2">
        <v>7924</v>
      </c>
      <c r="J161" s="2">
        <v>10476</v>
      </c>
    </row>
    <row r="162" spans="1:10" x14ac:dyDescent="0.3">
      <c r="A162" t="s">
        <v>46</v>
      </c>
      <c r="B162" t="s">
        <v>10</v>
      </c>
      <c r="C162" t="s">
        <v>126</v>
      </c>
      <c r="D162" s="2"/>
      <c r="E162" s="2">
        <v>1007</v>
      </c>
      <c r="F162" s="2">
        <v>3888</v>
      </c>
      <c r="G162" s="2">
        <v>7275</v>
      </c>
      <c r="H162" s="2">
        <v>12025</v>
      </c>
      <c r="I162" s="2">
        <v>17745</v>
      </c>
      <c r="J162" s="2">
        <v>24078</v>
      </c>
    </row>
    <row r="163" spans="1:10" x14ac:dyDescent="0.3">
      <c r="A163" t="s">
        <v>21</v>
      </c>
      <c r="B163" t="s">
        <v>10</v>
      </c>
      <c r="C163" t="s">
        <v>126</v>
      </c>
      <c r="D163" s="2"/>
      <c r="E163" s="2">
        <v>-1603</v>
      </c>
      <c r="F163" s="2">
        <v>2454</v>
      </c>
      <c r="G163" s="2">
        <v>2238</v>
      </c>
      <c r="H163" s="2">
        <v>11212</v>
      </c>
      <c r="I163" s="2">
        <v>25454</v>
      </c>
      <c r="J163" s="2">
        <v>41117</v>
      </c>
    </row>
    <row r="164" spans="1:10" x14ac:dyDescent="0.3">
      <c r="A164" t="s">
        <v>47</v>
      </c>
      <c r="B164" t="s">
        <v>10</v>
      </c>
      <c r="C164" t="s">
        <v>126</v>
      </c>
      <c r="D164" s="2"/>
      <c r="E164" s="2">
        <v>1195</v>
      </c>
      <c r="F164" s="2">
        <v>2944</v>
      </c>
      <c r="G164" s="2">
        <v>5070</v>
      </c>
      <c r="H164" s="2">
        <v>7621</v>
      </c>
      <c r="I164" s="2">
        <v>10509</v>
      </c>
      <c r="J164" s="2">
        <v>13686</v>
      </c>
    </row>
    <row r="165" spans="1:10" x14ac:dyDescent="0.3">
      <c r="A165" t="s">
        <v>22</v>
      </c>
      <c r="B165" t="s">
        <v>10</v>
      </c>
      <c r="C165" t="s">
        <v>126</v>
      </c>
      <c r="D165" s="2"/>
      <c r="E165" s="2">
        <v>3021</v>
      </c>
      <c r="F165" s="2">
        <v>9335</v>
      </c>
      <c r="G165" s="2">
        <v>17386</v>
      </c>
      <c r="H165" s="2">
        <v>27288</v>
      </c>
      <c r="I165" s="2">
        <v>38692</v>
      </c>
      <c r="J165" s="2">
        <v>51316</v>
      </c>
    </row>
    <row r="166" spans="1:10" x14ac:dyDescent="0.3">
      <c r="A166" t="s">
        <v>48</v>
      </c>
      <c r="B166" t="s">
        <v>10</v>
      </c>
      <c r="C166" t="s">
        <v>126</v>
      </c>
      <c r="D166" s="2"/>
      <c r="E166" s="2">
        <v>1015</v>
      </c>
      <c r="F166" s="2">
        <v>1491</v>
      </c>
      <c r="G166" s="2">
        <v>1560</v>
      </c>
      <c r="H166" s="2">
        <v>1820</v>
      </c>
      <c r="I166" s="2">
        <v>2171</v>
      </c>
      <c r="J166" s="2">
        <v>2487</v>
      </c>
    </row>
    <row r="167" spans="1:10" x14ac:dyDescent="0.3">
      <c r="A167" t="s">
        <v>49</v>
      </c>
      <c r="B167" t="s">
        <v>10</v>
      </c>
      <c r="C167" t="s">
        <v>126</v>
      </c>
      <c r="D167" s="2"/>
      <c r="E167" s="2">
        <v>898</v>
      </c>
      <c r="F167" s="2">
        <v>3556</v>
      </c>
      <c r="G167" s="2">
        <v>6712</v>
      </c>
      <c r="H167" s="2">
        <v>11102</v>
      </c>
      <c r="I167" s="2">
        <v>16378</v>
      </c>
      <c r="J167" s="2">
        <v>22224</v>
      </c>
    </row>
    <row r="168" spans="1:10" x14ac:dyDescent="0.3">
      <c r="A168" t="s">
        <v>50</v>
      </c>
      <c r="B168" t="s">
        <v>10</v>
      </c>
      <c r="C168" t="s">
        <v>126</v>
      </c>
      <c r="D168" s="2"/>
      <c r="E168" s="2">
        <v>1701</v>
      </c>
      <c r="F168" s="2">
        <v>4054</v>
      </c>
      <c r="G168" s="2">
        <v>6848</v>
      </c>
      <c r="H168" s="2">
        <v>10327</v>
      </c>
      <c r="I168" s="2">
        <v>14335</v>
      </c>
      <c r="J168" s="2">
        <v>18736</v>
      </c>
    </row>
    <row r="169" spans="1:10" x14ac:dyDescent="0.3">
      <c r="A169" t="s">
        <v>23</v>
      </c>
      <c r="B169" t="s">
        <v>10</v>
      </c>
      <c r="C169" t="s">
        <v>126</v>
      </c>
      <c r="D169" s="2"/>
      <c r="E169" s="2">
        <v>3674</v>
      </c>
      <c r="F169" s="2">
        <v>11559</v>
      </c>
      <c r="G169" s="2">
        <v>21644</v>
      </c>
      <c r="H169" s="2">
        <v>34060</v>
      </c>
      <c r="I169" s="2">
        <v>48361</v>
      </c>
      <c r="J169" s="2">
        <v>64199</v>
      </c>
    </row>
    <row r="170" spans="1:10" x14ac:dyDescent="0.3">
      <c r="A170" t="s">
        <v>51</v>
      </c>
      <c r="B170" t="s">
        <v>10</v>
      </c>
      <c r="C170" t="s">
        <v>126</v>
      </c>
      <c r="D170" s="2"/>
      <c r="E170" s="2">
        <v>3105</v>
      </c>
      <c r="F170" s="2">
        <v>9643</v>
      </c>
      <c r="G170" s="2">
        <v>18194</v>
      </c>
      <c r="H170" s="2">
        <v>28474</v>
      </c>
      <c r="I170" s="2">
        <v>40218</v>
      </c>
      <c r="J170" s="2">
        <v>53231</v>
      </c>
    </row>
    <row r="171" spans="1:10" x14ac:dyDescent="0.3">
      <c r="A171" t="s">
        <v>24</v>
      </c>
      <c r="B171" t="s">
        <v>10</v>
      </c>
      <c r="C171" t="s">
        <v>126</v>
      </c>
      <c r="D171" s="2"/>
      <c r="E171" s="2">
        <v>3256</v>
      </c>
      <c r="F171" s="2">
        <v>7845</v>
      </c>
      <c r="G171" s="2">
        <v>13287</v>
      </c>
      <c r="H171" s="2">
        <v>20092</v>
      </c>
      <c r="I171" s="2">
        <v>27948</v>
      </c>
      <c r="J171" s="2">
        <v>36579</v>
      </c>
    </row>
    <row r="172" spans="1:10" x14ac:dyDescent="0.3">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3">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3">
      <c r="A174" t="s">
        <v>18</v>
      </c>
      <c r="B174" t="s">
        <v>10</v>
      </c>
      <c r="C174" t="s">
        <v>127</v>
      </c>
      <c r="D174" s="2"/>
      <c r="E174" s="2">
        <v>-8552</v>
      </c>
      <c r="F174" s="2">
        <v>-21017</v>
      </c>
      <c r="G174" s="2">
        <v>-39647</v>
      </c>
      <c r="H174" s="2">
        <v>-57560</v>
      </c>
      <c r="I174" s="2">
        <v>-76050</v>
      </c>
      <c r="J174" s="2">
        <v>-96536</v>
      </c>
    </row>
    <row r="175" spans="1:10" x14ac:dyDescent="0.3">
      <c r="A175" t="s">
        <v>19</v>
      </c>
      <c r="B175" t="s">
        <v>10</v>
      </c>
      <c r="C175" t="s">
        <v>127</v>
      </c>
      <c r="D175" s="2"/>
      <c r="E175" s="2">
        <v>-5193</v>
      </c>
      <c r="F175" s="2">
        <v>-14345</v>
      </c>
      <c r="G175" s="2">
        <v>-27278</v>
      </c>
      <c r="H175" s="2">
        <v>-41085</v>
      </c>
      <c r="I175" s="2">
        <v>-56093</v>
      </c>
      <c r="J175" s="2">
        <v>-72733</v>
      </c>
    </row>
    <row r="176" spans="1:10" x14ac:dyDescent="0.3">
      <c r="A176" t="s">
        <v>44</v>
      </c>
      <c r="B176" t="s">
        <v>10</v>
      </c>
      <c r="C176" t="s">
        <v>127</v>
      </c>
      <c r="D176" s="2"/>
      <c r="E176" s="2">
        <v>-507</v>
      </c>
      <c r="F176" s="2">
        <v>-1320</v>
      </c>
      <c r="G176" s="2">
        <v>-2394</v>
      </c>
      <c r="H176" s="2">
        <v>-3619</v>
      </c>
      <c r="I176" s="2">
        <v>-4988</v>
      </c>
      <c r="J176" s="2">
        <v>-6501</v>
      </c>
    </row>
    <row r="177" spans="1:10" x14ac:dyDescent="0.3">
      <c r="A177" t="s">
        <v>20</v>
      </c>
      <c r="B177" t="s">
        <v>10</v>
      </c>
      <c r="C177" t="s">
        <v>127</v>
      </c>
      <c r="D177" s="2"/>
      <c r="E177" s="2">
        <v>-56682</v>
      </c>
      <c r="F177" s="2">
        <v>-119621</v>
      </c>
      <c r="G177" s="2">
        <v>-211208</v>
      </c>
      <c r="H177" s="2">
        <v>-295420</v>
      </c>
      <c r="I177" s="2">
        <v>-379936</v>
      </c>
      <c r="J177" s="2">
        <v>-472848</v>
      </c>
    </row>
    <row r="178" spans="1:10" x14ac:dyDescent="0.3">
      <c r="A178" t="s">
        <v>45</v>
      </c>
      <c r="B178" t="s">
        <v>10</v>
      </c>
      <c r="C178" t="s">
        <v>127</v>
      </c>
      <c r="D178" s="2"/>
      <c r="E178" s="2">
        <v>-843</v>
      </c>
      <c r="F178" s="2">
        <v>-2227</v>
      </c>
      <c r="G178" s="2">
        <v>-4058</v>
      </c>
      <c r="H178" s="2">
        <v>-6133</v>
      </c>
      <c r="I178" s="2">
        <v>-8443</v>
      </c>
      <c r="J178" s="2">
        <v>-10995</v>
      </c>
    </row>
    <row r="179" spans="1:10" x14ac:dyDescent="0.3">
      <c r="A179" t="s">
        <v>46</v>
      </c>
      <c r="B179" t="s">
        <v>10</v>
      </c>
      <c r="C179" t="s">
        <v>127</v>
      </c>
      <c r="D179" s="2"/>
      <c r="E179" s="2">
        <v>-2187</v>
      </c>
      <c r="F179" s="2">
        <v>-5767</v>
      </c>
      <c r="G179" s="2">
        <v>-10837</v>
      </c>
      <c r="H179" s="2">
        <v>-16147</v>
      </c>
      <c r="I179" s="2">
        <v>-21866</v>
      </c>
      <c r="J179" s="2">
        <v>-28201</v>
      </c>
    </row>
    <row r="180" spans="1:10" x14ac:dyDescent="0.3">
      <c r="A180" t="s">
        <v>21</v>
      </c>
      <c r="B180" t="s">
        <v>10</v>
      </c>
      <c r="C180" t="s">
        <v>127</v>
      </c>
      <c r="D180" s="2"/>
      <c r="E180" s="2">
        <v>-14107</v>
      </c>
      <c r="F180" s="2">
        <v>-27386</v>
      </c>
      <c r="G180" s="2">
        <v>-49304</v>
      </c>
      <c r="H180" s="2">
        <v>-65652</v>
      </c>
      <c r="I180" s="2">
        <v>-79894</v>
      </c>
      <c r="J180" s="2">
        <v>-95558</v>
      </c>
    </row>
    <row r="181" spans="1:10" x14ac:dyDescent="0.3">
      <c r="A181" t="s">
        <v>47</v>
      </c>
      <c r="B181" t="s">
        <v>10</v>
      </c>
      <c r="C181" t="s">
        <v>127</v>
      </c>
      <c r="D181" s="2"/>
      <c r="E181" s="2">
        <v>-1224</v>
      </c>
      <c r="F181" s="2">
        <v>-3030</v>
      </c>
      <c r="G181" s="2">
        <v>-5315</v>
      </c>
      <c r="H181" s="2">
        <v>-7902</v>
      </c>
      <c r="I181" s="2">
        <v>-10791</v>
      </c>
      <c r="J181" s="2">
        <v>-13967</v>
      </c>
    </row>
    <row r="182" spans="1:10" x14ac:dyDescent="0.3">
      <c r="A182" t="s">
        <v>22</v>
      </c>
      <c r="B182" t="s">
        <v>10</v>
      </c>
      <c r="C182" t="s">
        <v>127</v>
      </c>
      <c r="D182" s="2"/>
      <c r="E182" s="2">
        <v>-3569</v>
      </c>
      <c r="F182" s="2">
        <v>-10217</v>
      </c>
      <c r="G182" s="2">
        <v>-19067</v>
      </c>
      <c r="H182" s="2">
        <v>-29240</v>
      </c>
      <c r="I182" s="2">
        <v>-40644</v>
      </c>
      <c r="J182" s="2">
        <v>-53268</v>
      </c>
    </row>
    <row r="183" spans="1:10" x14ac:dyDescent="0.3">
      <c r="A183" t="s">
        <v>48</v>
      </c>
      <c r="B183" t="s">
        <v>10</v>
      </c>
      <c r="C183" t="s">
        <v>127</v>
      </c>
      <c r="D183" s="2"/>
      <c r="E183" s="2">
        <v>-1583</v>
      </c>
      <c r="F183" s="2">
        <v>-2406</v>
      </c>
      <c r="G183" s="2">
        <v>-3301</v>
      </c>
      <c r="H183" s="2">
        <v>-3842</v>
      </c>
      <c r="I183" s="2">
        <v>-4193</v>
      </c>
      <c r="J183" s="2">
        <v>-4509</v>
      </c>
    </row>
    <row r="184" spans="1:10" x14ac:dyDescent="0.3">
      <c r="A184" t="s">
        <v>49</v>
      </c>
      <c r="B184" t="s">
        <v>10</v>
      </c>
      <c r="C184" t="s">
        <v>127</v>
      </c>
      <c r="D184" s="2"/>
      <c r="E184" s="2">
        <v>-1949</v>
      </c>
      <c r="F184" s="2">
        <v>-5219</v>
      </c>
      <c r="G184" s="2">
        <v>-9849</v>
      </c>
      <c r="H184" s="2">
        <v>-14731</v>
      </c>
      <c r="I184" s="2">
        <v>-20007</v>
      </c>
      <c r="J184" s="2">
        <v>-25853</v>
      </c>
    </row>
    <row r="185" spans="1:10" x14ac:dyDescent="0.3">
      <c r="A185" t="s">
        <v>50</v>
      </c>
      <c r="B185" t="s">
        <v>10</v>
      </c>
      <c r="C185" t="s">
        <v>127</v>
      </c>
      <c r="D185" s="2"/>
      <c r="E185" s="2">
        <v>-2098</v>
      </c>
      <c r="F185" s="2">
        <v>-4683</v>
      </c>
      <c r="G185" s="2">
        <v>-8029</v>
      </c>
      <c r="H185" s="2">
        <v>-11690</v>
      </c>
      <c r="I185" s="2">
        <v>-15698</v>
      </c>
      <c r="J185" s="2">
        <v>-20100</v>
      </c>
    </row>
    <row r="186" spans="1:10" x14ac:dyDescent="0.3">
      <c r="A186" t="s">
        <v>23</v>
      </c>
      <c r="B186" t="s">
        <v>10</v>
      </c>
      <c r="C186" t="s">
        <v>127</v>
      </c>
      <c r="D186" s="2"/>
      <c r="E186" s="2">
        <v>-4350</v>
      </c>
      <c r="F186" s="2">
        <v>-12642</v>
      </c>
      <c r="G186" s="2">
        <v>-23712</v>
      </c>
      <c r="H186" s="2">
        <v>-36454</v>
      </c>
      <c r="I186" s="2">
        <v>-50756</v>
      </c>
      <c r="J186" s="2">
        <v>-66592</v>
      </c>
    </row>
    <row r="187" spans="1:10" x14ac:dyDescent="0.3">
      <c r="A187" t="s">
        <v>51</v>
      </c>
      <c r="B187" t="s">
        <v>10</v>
      </c>
      <c r="C187" t="s">
        <v>127</v>
      </c>
      <c r="D187" s="2"/>
      <c r="E187" s="2">
        <v>-3200</v>
      </c>
      <c r="F187" s="2">
        <v>-9835</v>
      </c>
      <c r="G187" s="2">
        <v>-18610</v>
      </c>
      <c r="H187" s="2">
        <v>-28966</v>
      </c>
      <c r="I187" s="2">
        <v>-40710</v>
      </c>
      <c r="J187" s="2">
        <v>-53722</v>
      </c>
    </row>
    <row r="188" spans="1:10" x14ac:dyDescent="0.3">
      <c r="A188" t="s">
        <v>24</v>
      </c>
      <c r="B188" t="s">
        <v>10</v>
      </c>
      <c r="C188" t="s">
        <v>127</v>
      </c>
      <c r="D188" s="2"/>
      <c r="E188" s="2">
        <v>-4040</v>
      </c>
      <c r="F188" s="2">
        <v>-9101</v>
      </c>
      <c r="G188" s="2">
        <v>-15678</v>
      </c>
      <c r="H188" s="2">
        <v>-22861</v>
      </c>
      <c r="I188" s="2">
        <v>-30717</v>
      </c>
      <c r="J188" s="2">
        <v>-39349</v>
      </c>
    </row>
    <row r="189" spans="1:10" x14ac:dyDescent="0.3">
      <c r="A189" t="s">
        <v>53</v>
      </c>
      <c r="B189" t="s">
        <v>52</v>
      </c>
      <c r="C189" t="s">
        <v>55</v>
      </c>
      <c r="D189" s="66">
        <f>'[4]Population by Age'!B40</f>
        <v>1505965.4584483812</v>
      </c>
      <c r="E189" s="66">
        <f>'[4]Population by Age'!C40</f>
        <v>1557962.3139113518</v>
      </c>
      <c r="F189" s="66">
        <f>'[4]Population by Age'!D40</f>
        <v>1608619.0123257095</v>
      </c>
      <c r="G189" s="66">
        <f>'[4]Population by Age'!E40</f>
        <v>1696696.4788869068</v>
      </c>
      <c r="H189" s="66">
        <f>'[4]Population by Age'!F40</f>
        <v>1774928.8990540032</v>
      </c>
      <c r="I189" s="66">
        <f>'[4]Population by Age'!G40</f>
        <v>1850646.2987624097</v>
      </c>
      <c r="J189" s="66">
        <f>'[4]Population by Age'!H40</f>
        <v>1916524.3612043406</v>
      </c>
    </row>
    <row r="190" spans="1:10" x14ac:dyDescent="0.3">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3">
      <c r="A191" t="s">
        <v>18</v>
      </c>
      <c r="B191" t="s">
        <v>52</v>
      </c>
      <c r="C191" t="s">
        <v>55</v>
      </c>
      <c r="D191" s="66">
        <f>'[4]Population by Age'!B25</f>
        <v>128972.52601590233</v>
      </c>
      <c r="E191" s="66">
        <f>'[4]Population by Age'!C25</f>
        <v>147623.24423133634</v>
      </c>
      <c r="F191" s="66">
        <f>'[4]Population by Age'!D25</f>
        <v>162957.84384566068</v>
      </c>
      <c r="G191" s="66">
        <f>'[4]Population by Age'!E25</f>
        <v>179944.12319771305</v>
      </c>
      <c r="H191" s="66">
        <f>'[4]Population by Age'!F25</f>
        <v>195084.78183376222</v>
      </c>
      <c r="I191" s="66">
        <f>'[4]Population by Age'!G25</f>
        <v>210691.53274779941</v>
      </c>
      <c r="J191" s="66">
        <f>'[4]Population by Age'!H25</f>
        <v>226432.50231069018</v>
      </c>
    </row>
    <row r="192" spans="1:10" x14ac:dyDescent="0.3">
      <c r="A192" t="s">
        <v>19</v>
      </c>
      <c r="B192" t="s">
        <v>52</v>
      </c>
      <c r="C192" t="s">
        <v>55</v>
      </c>
      <c r="D192" s="66">
        <f>'[4]Population by Age'!B26</f>
        <v>95313.150585371244</v>
      </c>
      <c r="E192" s="66">
        <f>'[4]Population by Age'!C26</f>
        <v>99312.335500189089</v>
      </c>
      <c r="F192" s="66">
        <f>'[4]Population by Age'!D26</f>
        <v>102543.14077227309</v>
      </c>
      <c r="G192" s="66">
        <f>'[4]Population by Age'!E26</f>
        <v>108077.37830183574</v>
      </c>
      <c r="H192" s="66">
        <f>'[4]Population by Age'!F26</f>
        <v>114186.18698681684</v>
      </c>
      <c r="I192" s="66">
        <f>'[4]Population by Age'!G26</f>
        <v>120539.30629321747</v>
      </c>
      <c r="J192" s="66">
        <f>'[4]Population by Age'!H26</f>
        <v>126510.67234646523</v>
      </c>
    </row>
    <row r="193" spans="1:12" x14ac:dyDescent="0.3">
      <c r="A193" t="s">
        <v>44</v>
      </c>
      <c r="B193" t="s">
        <v>52</v>
      </c>
      <c r="C193" t="s">
        <v>55</v>
      </c>
      <c r="D193" s="66">
        <f>'[4]Population by Age'!B27</f>
        <v>16983.627677665423</v>
      </c>
      <c r="E193" s="66">
        <f>'[4]Population by Age'!C27</f>
        <v>16999.060927796196</v>
      </c>
      <c r="F193" s="66">
        <f>'[4]Population by Age'!D27</f>
        <v>17271.915069246417</v>
      </c>
      <c r="G193" s="66">
        <f>'[4]Population by Age'!E27</f>
        <v>17603.343119206827</v>
      </c>
      <c r="H193" s="66">
        <f>'[4]Population by Age'!F27</f>
        <v>17904.57881490306</v>
      </c>
      <c r="I193" s="66">
        <f>'[4]Population by Age'!G27</f>
        <v>18288.655285276149</v>
      </c>
      <c r="J193" s="66">
        <f>'[4]Population by Age'!H27</f>
        <v>18699.186875287673</v>
      </c>
    </row>
    <row r="194" spans="1:12" x14ac:dyDescent="0.3">
      <c r="A194" t="s">
        <v>20</v>
      </c>
      <c r="B194" t="s">
        <v>52</v>
      </c>
      <c r="C194" t="s">
        <v>55</v>
      </c>
      <c r="D194" s="66">
        <f>'[4]Population by Age'!B28</f>
        <v>846255.02510575601</v>
      </c>
      <c r="E194" s="66">
        <f>'[4]Population by Age'!C28</f>
        <v>871038.09728373564</v>
      </c>
      <c r="F194" s="66">
        <f>'[4]Population by Age'!D28</f>
        <v>897085.84436772089</v>
      </c>
      <c r="G194" s="66">
        <f>'[4]Population by Age'!E28</f>
        <v>945272.28458394075</v>
      </c>
      <c r="H194" s="66">
        <f>'[4]Population by Age'!F28</f>
        <v>985153.43629214843</v>
      </c>
      <c r="I194" s="66">
        <f>'[4]Population by Age'!G28</f>
        <v>1022277.1046496063</v>
      </c>
      <c r="J194" s="66">
        <f>'[4]Population by Age'!H28</f>
        <v>1051047.24498198</v>
      </c>
    </row>
    <row r="195" spans="1:12" x14ac:dyDescent="0.3">
      <c r="A195" t="s">
        <v>45</v>
      </c>
      <c r="B195" t="s">
        <v>52</v>
      </c>
      <c r="C195" t="s">
        <v>55</v>
      </c>
      <c r="D195" s="66">
        <f>'[4]Population by Age'!B29</f>
        <v>16449.806948650843</v>
      </c>
      <c r="E195" s="66">
        <f>'[4]Population by Age'!C29</f>
        <v>15903.747643817633</v>
      </c>
      <c r="F195" s="66">
        <f>'[4]Population by Age'!D29</f>
        <v>15290.346796202131</v>
      </c>
      <c r="G195" s="66">
        <f>'[4]Population by Age'!E29</f>
        <v>15073.05592717024</v>
      </c>
      <c r="H195" s="66">
        <f>'[4]Population by Age'!F29</f>
        <v>14935.527801949182</v>
      </c>
      <c r="I195" s="66">
        <f>'[4]Population by Age'!G29</f>
        <v>14974.691804210957</v>
      </c>
      <c r="J195" s="66">
        <f>'[4]Population by Age'!H29</f>
        <v>15040.209855250527</v>
      </c>
    </row>
    <row r="196" spans="1:12" x14ac:dyDescent="0.3">
      <c r="A196" t="s">
        <v>46</v>
      </c>
      <c r="B196" t="s">
        <v>52</v>
      </c>
      <c r="C196" t="s">
        <v>55</v>
      </c>
      <c r="D196" s="66">
        <f>'[4]Population by Age'!B30</f>
        <v>35946.314336779753</v>
      </c>
      <c r="E196" s="66">
        <f>'[4]Population by Age'!C30</f>
        <v>35388.544455171825</v>
      </c>
      <c r="F196" s="66">
        <f>'[4]Population by Age'!D30</f>
        <v>35251.024123720752</v>
      </c>
      <c r="G196" s="66">
        <f>'[4]Population by Age'!E30</f>
        <v>35892.691467978351</v>
      </c>
      <c r="H196" s="66">
        <f>'[4]Population by Age'!F30</f>
        <v>36798.498938120814</v>
      </c>
      <c r="I196" s="66">
        <f>'[4]Population by Age'!G30</f>
        <v>37801.843992272275</v>
      </c>
      <c r="J196" s="66">
        <f>'[4]Population by Age'!H30</f>
        <v>38702.448857707903</v>
      </c>
      <c r="L196" s="8"/>
    </row>
    <row r="197" spans="1:12" x14ac:dyDescent="0.3">
      <c r="A197" t="s">
        <v>21</v>
      </c>
      <c r="B197" t="s">
        <v>52</v>
      </c>
      <c r="C197" t="s">
        <v>55</v>
      </c>
      <c r="D197" s="66">
        <f>'[4]Population by Age'!B31</f>
        <v>106701.20986889364</v>
      </c>
      <c r="E197" s="66">
        <f>'[4]Population by Age'!C31</f>
        <v>111272.46297250778</v>
      </c>
      <c r="F197" s="66">
        <f>'[4]Population by Age'!D31</f>
        <v>114734.62358908379</v>
      </c>
      <c r="G197" s="66">
        <f>'[4]Population by Age'!E31</f>
        <v>123803.2943652876</v>
      </c>
      <c r="H197" s="66">
        <f>'[4]Population by Age'!F31</f>
        <v>130275.10695106082</v>
      </c>
      <c r="I197" s="66">
        <f>'[4]Population by Age'!G31</f>
        <v>135753.07246531182</v>
      </c>
      <c r="J197" s="66">
        <f>'[4]Population by Age'!H31</f>
        <v>140178.63781984075</v>
      </c>
      <c r="L197" s="8"/>
    </row>
    <row r="198" spans="1:12" x14ac:dyDescent="0.3">
      <c r="A198" t="s">
        <v>47</v>
      </c>
      <c r="B198" t="s">
        <v>52</v>
      </c>
      <c r="C198" t="s">
        <v>55</v>
      </c>
      <c r="D198" s="66">
        <f>'[4]Population by Age'!B32</f>
        <v>26948.238165308059</v>
      </c>
      <c r="E198" s="66">
        <f>'[4]Population by Age'!C32</f>
        <v>26158.491733831775</v>
      </c>
      <c r="F198" s="66">
        <f>'[4]Population by Age'!D32</f>
        <v>25765.020485443973</v>
      </c>
      <c r="G198" s="66">
        <f>'[4]Population by Age'!E32</f>
        <v>25825.099277703652</v>
      </c>
      <c r="H198" s="66">
        <f>'[4]Population by Age'!F32</f>
        <v>26081.728849059517</v>
      </c>
      <c r="I198" s="66">
        <f>'[4]Population by Age'!G32</f>
        <v>26530.515076389842</v>
      </c>
      <c r="J198" s="66">
        <f>'[4]Population by Age'!H32</f>
        <v>27061.647651174069</v>
      </c>
      <c r="L198" s="8"/>
    </row>
    <row r="199" spans="1:12" x14ac:dyDescent="0.3">
      <c r="A199" t="s">
        <v>22</v>
      </c>
      <c r="B199" t="s">
        <v>52</v>
      </c>
      <c r="C199" t="s">
        <v>55</v>
      </c>
      <c r="D199" s="66">
        <f>'[4]Population by Age'!B33</f>
        <v>27804.531208140688</v>
      </c>
      <c r="E199" s="66">
        <f>'[4]Population by Age'!C33</f>
        <v>28926.860440931669</v>
      </c>
      <c r="F199" s="66">
        <f>'[4]Population by Age'!D33</f>
        <v>29783.178997949472</v>
      </c>
      <c r="G199" s="66">
        <f>'[4]Population by Age'!E33</f>
        <v>31056.469004496848</v>
      </c>
      <c r="H199" s="66">
        <f>'[4]Population by Age'!F33</f>
        <v>32561.324877176972</v>
      </c>
      <c r="I199" s="66">
        <f>'[4]Population by Age'!G33</f>
        <v>34078.778106326507</v>
      </c>
      <c r="J199" s="66">
        <f>'[4]Population by Age'!H33</f>
        <v>35516.833600953512</v>
      </c>
      <c r="L199" s="8"/>
    </row>
    <row r="200" spans="1:12" x14ac:dyDescent="0.3">
      <c r="A200" t="s">
        <v>48</v>
      </c>
      <c r="B200" t="s">
        <v>52</v>
      </c>
      <c r="C200" t="s">
        <v>55</v>
      </c>
      <c r="D200" s="66">
        <f>'[4]Population by Age'!B34</f>
        <v>39416.487022203961</v>
      </c>
      <c r="E200" s="66">
        <f>'[4]Population by Age'!C34</f>
        <v>38143.638704776204</v>
      </c>
      <c r="F200" s="66">
        <f>'[4]Population by Age'!D34</f>
        <v>37481.507007892811</v>
      </c>
      <c r="G200" s="66">
        <f>'[4]Population by Age'!E34</f>
        <v>38060.962090151646</v>
      </c>
      <c r="H200" s="66">
        <f>'[4]Population by Age'!F34</f>
        <v>38724.84514132909</v>
      </c>
      <c r="I200" s="66">
        <f>'[4]Population by Age'!G34</f>
        <v>39031.52146634346</v>
      </c>
      <c r="J200" s="66">
        <f>'[4]Population by Age'!H34</f>
        <v>39028.715217497484</v>
      </c>
      <c r="L200" s="8"/>
    </row>
    <row r="201" spans="1:12" x14ac:dyDescent="0.3">
      <c r="A201" t="s">
        <v>49</v>
      </c>
      <c r="B201" t="s">
        <v>52</v>
      </c>
      <c r="C201" t="s">
        <v>55</v>
      </c>
      <c r="D201" s="66">
        <f>'[4]Population by Age'!B35</f>
        <v>20811.092657152058</v>
      </c>
      <c r="E201" s="66">
        <f>'[4]Population by Age'!C35</f>
        <v>21201.973165368152</v>
      </c>
      <c r="F201" s="66">
        <f>'[4]Population by Age'!D35</f>
        <v>21385.608875306643</v>
      </c>
      <c r="G201" s="66">
        <f>'[4]Population by Age'!E35</f>
        <v>21937.623169395712</v>
      </c>
      <c r="H201" s="66">
        <f>'[4]Population by Age'!F35</f>
        <v>22481.664388449684</v>
      </c>
      <c r="I201" s="66">
        <f>'[4]Population by Age'!G35</f>
        <v>23148.328332197012</v>
      </c>
      <c r="J201" s="66">
        <f>'[4]Population by Age'!H35</f>
        <v>23961.810649045547</v>
      </c>
      <c r="L201" s="8"/>
    </row>
    <row r="202" spans="1:12" x14ac:dyDescent="0.3">
      <c r="A202" t="s">
        <v>50</v>
      </c>
      <c r="B202" t="s">
        <v>52</v>
      </c>
      <c r="C202" t="s">
        <v>55</v>
      </c>
      <c r="D202" s="66">
        <f>'[4]Population by Age'!B36</f>
        <v>21100.122251132932</v>
      </c>
      <c r="E202" s="66">
        <f>'[4]Population by Age'!C36</f>
        <v>21180.442319527931</v>
      </c>
      <c r="F202" s="66">
        <f>'[4]Population by Age'!D36</f>
        <v>21008.19249324215</v>
      </c>
      <c r="G202" s="66">
        <f>'[4]Population by Age'!E36</f>
        <v>21171.553537854961</v>
      </c>
      <c r="H202" s="66">
        <f>'[4]Population by Age'!F36</f>
        <v>21556.468218630245</v>
      </c>
      <c r="I202" s="66">
        <f>'[4]Population by Age'!G36</f>
        <v>21997.724903156111</v>
      </c>
      <c r="J202" s="66">
        <f>'[4]Population by Age'!H36</f>
        <v>22373.935994145213</v>
      </c>
    </row>
    <row r="203" spans="1:12" x14ac:dyDescent="0.3">
      <c r="A203" t="s">
        <v>23</v>
      </c>
      <c r="B203" t="s">
        <v>52</v>
      </c>
      <c r="C203" t="s">
        <v>55</v>
      </c>
      <c r="D203" s="66">
        <f>'[4]Population by Age'!B37</f>
        <v>36431.083732997664</v>
      </c>
      <c r="E203" s="66">
        <f>'[4]Population by Age'!C37</f>
        <v>38391.019469849693</v>
      </c>
      <c r="F203" s="66">
        <f>'[4]Population by Age'!D37</f>
        <v>40177.559998996156</v>
      </c>
      <c r="G203" s="66">
        <f>'[4]Population by Age'!E37</f>
        <v>42345.065411847834</v>
      </c>
      <c r="H203" s="66">
        <f>'[4]Population by Age'!F37</f>
        <v>44690.924474857857</v>
      </c>
      <c r="I203" s="66">
        <f>'[4]Population by Age'!G37</f>
        <v>46824.236139990819</v>
      </c>
      <c r="J203" s="66">
        <f>'[4]Population by Age'!H37</f>
        <v>48980.815128030124</v>
      </c>
    </row>
    <row r="204" spans="1:12" x14ac:dyDescent="0.3">
      <c r="A204" t="s">
        <v>51</v>
      </c>
      <c r="B204" t="s">
        <v>52</v>
      </c>
      <c r="C204" t="s">
        <v>55</v>
      </c>
      <c r="D204" s="66">
        <f>'[4]Population by Age'!B38</f>
        <v>47389.437093210021</v>
      </c>
      <c r="E204" s="66">
        <f>'[4]Population by Age'!C38</f>
        <v>45728.388239464359</v>
      </c>
      <c r="F204" s="66">
        <f>'[4]Population by Age'!D38</f>
        <v>44736.636167965698</v>
      </c>
      <c r="G204" s="66">
        <f>'[4]Population by Age'!E38</f>
        <v>44313.065475272546</v>
      </c>
      <c r="H204" s="66">
        <f>'[4]Population by Age'!F38</f>
        <v>44512.237658149024</v>
      </c>
      <c r="I204" s="66">
        <f>'[4]Population by Age'!G38</f>
        <v>44463.018385636904</v>
      </c>
      <c r="J204" s="66">
        <f>'[4]Population by Age'!H38</f>
        <v>44507.235961160455</v>
      </c>
    </row>
    <row r="205" spans="1:12" x14ac:dyDescent="0.3">
      <c r="A205" t="s">
        <v>24</v>
      </c>
      <c r="B205" t="s">
        <v>52</v>
      </c>
      <c r="C205" t="s">
        <v>55</v>
      </c>
      <c r="D205" s="66">
        <f>'[4]Population by Age'!B39</f>
        <v>39442.805779216229</v>
      </c>
      <c r="E205" s="66">
        <f>'[4]Population by Age'!C39</f>
        <v>40694.006823047195</v>
      </c>
      <c r="F205" s="66">
        <f>'[4]Population by Age'!D39</f>
        <v>43146.569735005018</v>
      </c>
      <c r="G205" s="66">
        <f>'[4]Population by Age'!E39</f>
        <v>46320.469957051275</v>
      </c>
      <c r="H205" s="66">
        <f>'[4]Population by Age'!F39</f>
        <v>49981.587827589668</v>
      </c>
      <c r="I205" s="66">
        <f>'[4]Population by Age'!G39</f>
        <v>54245.969114675332</v>
      </c>
      <c r="J205" s="66">
        <f>'[4]Population by Age'!H39</f>
        <v>58482.463955111933</v>
      </c>
    </row>
    <row r="206" spans="1:12" x14ac:dyDescent="0.3">
      <c r="A206" t="s">
        <v>53</v>
      </c>
      <c r="B206" t="s">
        <v>52</v>
      </c>
      <c r="C206" t="s">
        <v>56</v>
      </c>
      <c r="D206" s="66">
        <f>'[4]Population by Age'!B60</f>
        <v>351408.08866926492</v>
      </c>
      <c r="E206" s="66">
        <f>'[4]Population by Age'!C60</f>
        <v>409719.62578179111</v>
      </c>
      <c r="F206" s="66">
        <f>'[4]Population by Age'!D60</f>
        <v>458278.24955872202</v>
      </c>
      <c r="G206" s="66">
        <f>'[4]Population by Age'!E60</f>
        <v>492681.57473609276</v>
      </c>
      <c r="H206" s="66">
        <f>'[4]Population by Age'!F60</f>
        <v>507821.21437507658</v>
      </c>
      <c r="I206" s="66">
        <f>'[4]Population by Age'!G60</f>
        <v>515275.36368997017</v>
      </c>
      <c r="J206" s="66">
        <f>'[4]Population by Age'!H60</f>
        <v>530793.39621939929</v>
      </c>
    </row>
    <row r="207" spans="1:12" x14ac:dyDescent="0.3">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3">
      <c r="A208" t="s">
        <v>18</v>
      </c>
      <c r="B208" t="s">
        <v>52</v>
      </c>
      <c r="C208" t="s">
        <v>56</v>
      </c>
      <c r="D208" s="66">
        <f>'[4]Population by Age'!B45</f>
        <v>31513.890257265142</v>
      </c>
      <c r="E208" s="66">
        <f>'[4]Population by Age'!C45</f>
        <v>41398.544301009242</v>
      </c>
      <c r="F208" s="66">
        <f>'[4]Population by Age'!D45</f>
        <v>51829.759308558663</v>
      </c>
      <c r="G208" s="66">
        <f>'[4]Population by Age'!E45</f>
        <v>62262.721092614869</v>
      </c>
      <c r="H208" s="66">
        <f>'[4]Population by Age'!F45</f>
        <v>70999.244634704635</v>
      </c>
      <c r="I208" s="66">
        <f>'[4]Population by Age'!G45</f>
        <v>78055.785417652514</v>
      </c>
      <c r="J208" s="66">
        <f>'[4]Population by Age'!H45</f>
        <v>85364.98490905753</v>
      </c>
    </row>
    <row r="209" spans="1:18" x14ac:dyDescent="0.3">
      <c r="A209" t="s">
        <v>19</v>
      </c>
      <c r="B209" t="s">
        <v>52</v>
      </c>
      <c r="C209" t="s">
        <v>56</v>
      </c>
      <c r="D209" s="66">
        <f>'[4]Population by Age'!B46</f>
        <v>26195.113143279337</v>
      </c>
      <c r="E209" s="66">
        <f>'[4]Population by Age'!C46</f>
        <v>29922.686123036088</v>
      </c>
      <c r="F209" s="66">
        <f>'[4]Population by Age'!D46</f>
        <v>33388.752901610227</v>
      </c>
      <c r="G209" s="66">
        <f>'[4]Population by Age'!E46</f>
        <v>35360.337701610464</v>
      </c>
      <c r="H209" s="66">
        <f>'[4]Population by Age'!F46</f>
        <v>36020.855916495333</v>
      </c>
      <c r="I209" s="66">
        <f>'[4]Population by Age'!G46</f>
        <v>36083.85127243607</v>
      </c>
      <c r="J209" s="66">
        <f>'[4]Population by Age'!H46</f>
        <v>36587.594789356197</v>
      </c>
    </row>
    <row r="210" spans="1:18" x14ac:dyDescent="0.3">
      <c r="A210" t="s">
        <v>44</v>
      </c>
      <c r="B210" t="s">
        <v>52</v>
      </c>
      <c r="C210" t="s">
        <v>56</v>
      </c>
      <c r="D210" s="66">
        <f>'[4]Population by Age'!B47</f>
        <v>5350.7534203436089</v>
      </c>
      <c r="E210" s="66">
        <f>'[4]Population by Age'!C47</f>
        <v>5802.6053720202281</v>
      </c>
      <c r="F210" s="66">
        <f>'[4]Population by Age'!D47</f>
        <v>6228.7671091791899</v>
      </c>
      <c r="G210" s="66">
        <f>'[4]Population by Age'!E47</f>
        <v>6413.7867733094508</v>
      </c>
      <c r="H210" s="66">
        <f>'[4]Population by Age'!F47</f>
        <v>6459.3258222378954</v>
      </c>
      <c r="I210" s="66">
        <f>'[4]Population by Age'!G47</f>
        <v>6409.9989599343799</v>
      </c>
      <c r="J210" s="66">
        <f>'[4]Population by Age'!H47</f>
        <v>6370.6847986912835</v>
      </c>
    </row>
    <row r="211" spans="1:18" x14ac:dyDescent="0.3">
      <c r="A211" t="s">
        <v>20</v>
      </c>
      <c r="B211" t="s">
        <v>52</v>
      </c>
      <c r="C211" t="s">
        <v>56</v>
      </c>
      <c r="D211" s="66">
        <f>'[4]Population by Age'!B48</f>
        <v>167778.45394164682</v>
      </c>
      <c r="E211" s="66">
        <f>'[4]Population by Age'!C48</f>
        <v>194235.46328044147</v>
      </c>
      <c r="F211" s="66">
        <f>'[4]Population by Age'!D48</f>
        <v>213953.74244051767</v>
      </c>
      <c r="G211" s="66">
        <f>'[4]Population by Age'!E48</f>
        <v>226281.01687368637</v>
      </c>
      <c r="H211" s="66">
        <f>'[4]Population by Age'!F48</f>
        <v>229775.56492865359</v>
      </c>
      <c r="I211" s="66">
        <f>'[4]Population by Age'!G48</f>
        <v>231428.32249564119</v>
      </c>
      <c r="J211" s="66">
        <f>'[4]Population by Age'!H48</f>
        <v>239291.5415706705</v>
      </c>
    </row>
    <row r="212" spans="1:18" x14ac:dyDescent="0.3">
      <c r="A212" t="s">
        <v>45</v>
      </c>
      <c r="B212" t="s">
        <v>52</v>
      </c>
      <c r="C212" t="s">
        <v>56</v>
      </c>
      <c r="D212" s="66">
        <f>'[4]Population by Age'!B49</f>
        <v>5593.0272290443136</v>
      </c>
      <c r="E212" s="66">
        <f>'[4]Population by Age'!C49</f>
        <v>6165.6466119667039</v>
      </c>
      <c r="F212" s="66">
        <f>'[4]Population by Age'!D49</f>
        <v>6600.1961567952985</v>
      </c>
      <c r="G212" s="66">
        <f>'[4]Population by Age'!E49</f>
        <v>6757.5646476136571</v>
      </c>
      <c r="H212" s="66">
        <f>'[4]Population by Age'!F49</f>
        <v>6734.3183009183094</v>
      </c>
      <c r="I212" s="66">
        <f>'[4]Population by Age'!G49</f>
        <v>6540.9814231031341</v>
      </c>
      <c r="J212" s="66">
        <f>'[4]Population by Age'!H49</f>
        <v>6302.2033831853487</v>
      </c>
    </row>
    <row r="213" spans="1:18" x14ac:dyDescent="0.3">
      <c r="A213" t="s">
        <v>46</v>
      </c>
      <c r="B213" t="s">
        <v>52</v>
      </c>
      <c r="C213" t="s">
        <v>56</v>
      </c>
      <c r="D213" s="66">
        <f>'[4]Population by Age'!B50</f>
        <v>11843.269740320073</v>
      </c>
      <c r="E213" s="66">
        <f>'[4]Population by Age'!C50</f>
        <v>13486.189408302933</v>
      </c>
      <c r="F213" s="66">
        <f>'[4]Population by Age'!D50</f>
        <v>14535.331721780642</v>
      </c>
      <c r="G213" s="66">
        <f>'[4]Population by Age'!E50</f>
        <v>14982.500288361678</v>
      </c>
      <c r="H213" s="66">
        <f>'[4]Population by Age'!F50</f>
        <v>14759.076488026163</v>
      </c>
      <c r="I213" s="66">
        <f>'[4]Population by Age'!G50</f>
        <v>14299.471910577578</v>
      </c>
      <c r="J213" s="66">
        <f>'[4]Population by Age'!H50</f>
        <v>13955.718425949646</v>
      </c>
    </row>
    <row r="214" spans="1:18" x14ac:dyDescent="0.3">
      <c r="A214" t="s">
        <v>21</v>
      </c>
      <c r="B214" t="s">
        <v>52</v>
      </c>
      <c r="C214" t="s">
        <v>56</v>
      </c>
      <c r="D214" s="66">
        <f>'[4]Population by Age'!B51</f>
        <v>30719.100466030319</v>
      </c>
      <c r="E214" s="66">
        <f>'[4]Population by Age'!C51</f>
        <v>35849.48214747187</v>
      </c>
      <c r="F214" s="66">
        <f>'[4]Population by Age'!D51</f>
        <v>40110.479053336938</v>
      </c>
      <c r="G214" s="66">
        <f>'[4]Population by Age'!E51</f>
        <v>43685.682849801524</v>
      </c>
      <c r="H214" s="66">
        <f>'[4]Population by Age'!F51</f>
        <v>44072.156178680074</v>
      </c>
      <c r="I214" s="66">
        <f>'[4]Population by Age'!G51</f>
        <v>43052.741125733693</v>
      </c>
      <c r="J214" s="66">
        <f>'[4]Population by Age'!H51</f>
        <v>43083.459905400305</v>
      </c>
    </row>
    <row r="215" spans="1:18" x14ac:dyDescent="0.3">
      <c r="A215" t="s">
        <v>47</v>
      </c>
      <c r="B215" t="s">
        <v>52</v>
      </c>
      <c r="C215" t="s">
        <v>56</v>
      </c>
      <c r="D215" s="66">
        <f>'[4]Population by Age'!B52</f>
        <v>8841.8700083837102</v>
      </c>
      <c r="E215" s="66">
        <f>'[4]Population by Age'!C52</f>
        <v>9797.448905756557</v>
      </c>
      <c r="F215" s="66">
        <f>'[4]Population by Age'!D52</f>
        <v>10634.258544901997</v>
      </c>
      <c r="G215" s="66">
        <f>'[4]Population by Age'!E52</f>
        <v>10911.632018666973</v>
      </c>
      <c r="H215" s="66">
        <f>'[4]Population by Age'!F52</f>
        <v>10958.925894637325</v>
      </c>
      <c r="I215" s="66">
        <f>'[4]Population by Age'!G52</f>
        <v>10864.978521362662</v>
      </c>
      <c r="J215" s="66">
        <f>'[4]Population by Age'!H52</f>
        <v>10716.986514146503</v>
      </c>
    </row>
    <row r="216" spans="1:18" x14ac:dyDescent="0.3">
      <c r="A216" t="s">
        <v>22</v>
      </c>
      <c r="B216" t="s">
        <v>52</v>
      </c>
      <c r="C216" t="s">
        <v>56</v>
      </c>
      <c r="D216" s="66">
        <f>'[4]Population by Age'!B53</f>
        <v>7160.9000201979416</v>
      </c>
      <c r="E216" s="66">
        <f>'[4]Population by Age'!C53</f>
        <v>8561.1719782820874</v>
      </c>
      <c r="F216" s="66">
        <f>'[4]Population by Age'!D53</f>
        <v>9946.2623535657385</v>
      </c>
      <c r="G216" s="66">
        <f>'[4]Population by Age'!E53</f>
        <v>10956.841983756542</v>
      </c>
      <c r="H216" s="66">
        <f>'[4]Population by Age'!F53</f>
        <v>11653.997919047815</v>
      </c>
      <c r="I216" s="66">
        <f>'[4]Population by Age'!G53</f>
        <v>11940.503680534097</v>
      </c>
      <c r="J216" s="66">
        <f>'[4]Population by Age'!H53</f>
        <v>12267.17200349176</v>
      </c>
    </row>
    <row r="217" spans="1:18" x14ac:dyDescent="0.3">
      <c r="A217" t="s">
        <v>48</v>
      </c>
      <c r="B217" t="s">
        <v>52</v>
      </c>
      <c r="C217" t="s">
        <v>56</v>
      </c>
      <c r="D217" s="66">
        <f>'[4]Population by Age'!B54</f>
        <v>12172.382721382288</v>
      </c>
      <c r="E217" s="66">
        <f>'[4]Population by Age'!C54</f>
        <v>13390.107088143615</v>
      </c>
      <c r="F217" s="66">
        <f>'[4]Population by Age'!D54</f>
        <v>14047.658217785562</v>
      </c>
      <c r="G217" s="66">
        <f>'[4]Population by Age'!E54</f>
        <v>14016.281084917342</v>
      </c>
      <c r="H217" s="66">
        <f>'[4]Population by Age'!F54</f>
        <v>13488.129618292447</v>
      </c>
      <c r="I217" s="66">
        <f>'[4]Population by Age'!G54</f>
        <v>12749.390903522148</v>
      </c>
      <c r="J217" s="66">
        <f>'[4]Population by Age'!H54</f>
        <v>12197.081704325754</v>
      </c>
    </row>
    <row r="218" spans="1:18" x14ac:dyDescent="0.3">
      <c r="A218" t="s">
        <v>49</v>
      </c>
      <c r="B218" t="s">
        <v>52</v>
      </c>
      <c r="C218" t="s">
        <v>56</v>
      </c>
      <c r="D218" s="66">
        <f>'[4]Population by Age'!B55</f>
        <v>6475.5852701138065</v>
      </c>
      <c r="E218" s="66">
        <f>'[4]Population by Age'!C55</f>
        <v>7780.1424754462578</v>
      </c>
      <c r="F218" s="66">
        <f>'[4]Population by Age'!D55</f>
        <v>8771.8906780586403</v>
      </c>
      <c r="G218" s="66">
        <f>'[4]Population by Age'!E55</f>
        <v>9555.6732808226843</v>
      </c>
      <c r="H218" s="66">
        <f>'[4]Population by Age'!F55</f>
        <v>10046.593216999736</v>
      </c>
      <c r="I218" s="66">
        <f>'[4]Population by Age'!G55</f>
        <v>10294.942988548539</v>
      </c>
      <c r="J218" s="66">
        <f>'[4]Population by Age'!H55</f>
        <v>10475.549648476455</v>
      </c>
    </row>
    <row r="219" spans="1:18" x14ac:dyDescent="0.3">
      <c r="A219" t="s">
        <v>50</v>
      </c>
      <c r="B219" t="s">
        <v>52</v>
      </c>
      <c r="C219" t="s">
        <v>56</v>
      </c>
      <c r="D219" s="66">
        <f>'[4]Population by Age'!B56</f>
        <v>6220.2318376363382</v>
      </c>
      <c r="E219" s="66">
        <f>'[4]Population by Age'!C56</f>
        <v>7339.7884328124501</v>
      </c>
      <c r="F219" s="66">
        <f>'[4]Population by Age'!D56</f>
        <v>8060.8421643889806</v>
      </c>
      <c r="G219" s="66">
        <f>'[4]Population by Age'!E56</f>
        <v>8544.8292220324747</v>
      </c>
      <c r="H219" s="66">
        <f>'[4]Population by Age'!F56</f>
        <v>8585.118317643306</v>
      </c>
      <c r="I219" s="66">
        <f>'[4]Population by Age'!G56</f>
        <v>8509.7588364884014</v>
      </c>
      <c r="J219" s="66">
        <f>'[4]Population by Age'!H56</f>
        <v>8467.6327794669614</v>
      </c>
    </row>
    <row r="220" spans="1:18" x14ac:dyDescent="0.3">
      <c r="A220" t="s">
        <v>23</v>
      </c>
      <c r="B220" t="s">
        <v>52</v>
      </c>
      <c r="C220" t="s">
        <v>56</v>
      </c>
      <c r="D220" s="66">
        <f>'[4]Population by Age'!B57</f>
        <v>9626.4310750451768</v>
      </c>
      <c r="E220" s="66">
        <f>'[4]Population by Age'!C57</f>
        <v>11170.787508461657</v>
      </c>
      <c r="F220" s="66">
        <f>'[4]Population by Age'!D57</f>
        <v>12566.605438083901</v>
      </c>
      <c r="G220" s="66">
        <f>'[4]Population by Age'!E57</f>
        <v>13796.531481885955</v>
      </c>
      <c r="H220" s="66">
        <f>'[4]Population by Age'!F57</f>
        <v>14622.862898679134</v>
      </c>
      <c r="I220" s="66">
        <f>'[4]Population by Age'!G57</f>
        <v>15228.468429168141</v>
      </c>
      <c r="J220" s="66">
        <f>'[4]Population by Age'!H57</f>
        <v>15715.004924686025</v>
      </c>
    </row>
    <row r="221" spans="1:18" x14ac:dyDescent="0.3">
      <c r="A221" t="s">
        <v>51</v>
      </c>
      <c r="B221" t="s">
        <v>52</v>
      </c>
      <c r="C221" t="s">
        <v>56</v>
      </c>
      <c r="D221" s="66">
        <f>'[4]Population by Age'!B58</f>
        <v>13647.135618947919</v>
      </c>
      <c r="E221" s="66">
        <f>'[4]Population by Age'!C58</f>
        <v>15188.916941896634</v>
      </c>
      <c r="F221" s="66">
        <f>'[4]Population by Age'!D58</f>
        <v>16240.508412341351</v>
      </c>
      <c r="G221" s="66">
        <f>'[4]Population by Age'!E58</f>
        <v>16535.245281169424</v>
      </c>
      <c r="H221" s="66">
        <f>'[4]Population by Age'!F58</f>
        <v>16278.532183164683</v>
      </c>
      <c r="I221" s="66">
        <f>'[4]Population by Age'!G58</f>
        <v>15864.245511630452</v>
      </c>
      <c r="J221" s="66">
        <f>'[4]Population by Age'!H58</f>
        <v>15310.265038473161</v>
      </c>
    </row>
    <row r="222" spans="1:18" x14ac:dyDescent="0.3">
      <c r="A222" t="s">
        <v>24</v>
      </c>
      <c r="B222" t="s">
        <v>52</v>
      </c>
      <c r="C222" t="s">
        <v>56</v>
      </c>
      <c r="D222" s="66">
        <f>'[4]Population by Age'!B59</f>
        <v>8269.943919628131</v>
      </c>
      <c r="E222" s="66">
        <f>'[4]Population by Age'!C59</f>
        <v>9630.645206743231</v>
      </c>
      <c r="F222" s="66">
        <f>'[4]Population by Age'!D59</f>
        <v>11363.195057817276</v>
      </c>
      <c r="G222" s="66">
        <f>'[4]Population by Age'!E59</f>
        <v>12620.930155843414</v>
      </c>
      <c r="H222" s="66">
        <f>'[4]Population by Age'!F59</f>
        <v>13366.512056896092</v>
      </c>
      <c r="I222" s="66">
        <f>'[4]Population by Age'!G59</f>
        <v>13951.922213637232</v>
      </c>
      <c r="J222" s="66">
        <f>'[4]Population by Age'!H59</f>
        <v>14687.515824021793</v>
      </c>
    </row>
    <row r="223" spans="1:18" x14ac:dyDescent="0.3">
      <c r="A223" t="s">
        <v>53</v>
      </c>
      <c r="B223" t="s">
        <v>52</v>
      </c>
      <c r="C223" t="s">
        <v>57</v>
      </c>
      <c r="D223" s="66">
        <f>'[4]Population by Age'!B20</f>
        <v>561826.45288235426</v>
      </c>
      <c r="E223" s="66">
        <f>'[4]Population by Age'!C20</f>
        <v>587633.06030685722</v>
      </c>
      <c r="F223" s="66">
        <f>'[4]Population by Age'!D20</f>
        <v>610028.73811556818</v>
      </c>
      <c r="G223" s="66">
        <f>'[4]Population by Age'!E20</f>
        <v>637801.94637699949</v>
      </c>
      <c r="H223" s="66">
        <f>'[4]Population by Age'!F20</f>
        <v>661948.88657091977</v>
      </c>
      <c r="I223" s="66">
        <f>'[4]Population by Age'!G20</f>
        <v>679932.33754761936</v>
      </c>
      <c r="J223" s="66">
        <f>'[4]Population by Age'!H20</f>
        <v>699693.24257626012</v>
      </c>
    </row>
    <row r="224" spans="1:18" x14ac:dyDescent="0.3">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3">
      <c r="A225" t="s">
        <v>18</v>
      </c>
      <c r="B225" t="s">
        <v>52</v>
      </c>
      <c r="C225" t="s">
        <v>57</v>
      </c>
      <c r="D225" s="66">
        <f>'[4]Population by Age'!B5</f>
        <v>53637.583726832556</v>
      </c>
      <c r="E225" s="66">
        <f>'[4]Population by Age'!C5</f>
        <v>57994.211467654452</v>
      </c>
      <c r="F225" s="66">
        <f>'[4]Population by Age'!D5</f>
        <v>62696.39684578064</v>
      </c>
      <c r="G225" s="66">
        <f>'[4]Population by Age'!E5</f>
        <v>68656.155709672006</v>
      </c>
      <c r="H225" s="66">
        <f>'[4]Population by Age'!F5</f>
        <v>74832.973531533033</v>
      </c>
      <c r="I225" s="66">
        <f>'[4]Population by Age'!G5</f>
        <v>80559.681834548057</v>
      </c>
      <c r="J225" s="66">
        <f>'[4]Population by Age'!H5</f>
        <v>85899.512780252422</v>
      </c>
    </row>
    <row r="226" spans="1:10" x14ac:dyDescent="0.3">
      <c r="A226" t="s">
        <v>19</v>
      </c>
      <c r="B226" t="s">
        <v>52</v>
      </c>
      <c r="C226" t="s">
        <v>57</v>
      </c>
      <c r="D226" s="66">
        <f>'[4]Population by Age'!B6</f>
        <v>37412.736271349422</v>
      </c>
      <c r="E226" s="66">
        <f>'[4]Population by Age'!C6</f>
        <v>39947.978376774852</v>
      </c>
      <c r="F226" s="66">
        <f>'[4]Population by Age'!D6</f>
        <v>42517.10632611662</v>
      </c>
      <c r="G226" s="66">
        <f>'[4]Population by Age'!E6</f>
        <v>45382.283996553808</v>
      </c>
      <c r="H226" s="66">
        <f>'[4]Population by Age'!F6</f>
        <v>47720.957096687824</v>
      </c>
      <c r="I226" s="66">
        <f>'[4]Population by Age'!G6</f>
        <v>49780.842434346465</v>
      </c>
      <c r="J226" s="66">
        <f>'[4]Population by Age'!H6</f>
        <v>51781.732864178513</v>
      </c>
    </row>
    <row r="227" spans="1:10" x14ac:dyDescent="0.3">
      <c r="A227" t="s">
        <v>44</v>
      </c>
      <c r="B227" t="s">
        <v>52</v>
      </c>
      <c r="C227" t="s">
        <v>57</v>
      </c>
      <c r="D227" s="66">
        <f>'[4]Population by Age'!B7</f>
        <v>6616.6189019909652</v>
      </c>
      <c r="E227" s="66">
        <f>'[4]Population by Age'!C7</f>
        <v>6617.3337001835789</v>
      </c>
      <c r="F227" s="66">
        <f>'[4]Population by Age'!D7</f>
        <v>6510.3178215743965</v>
      </c>
      <c r="G227" s="66">
        <f>'[4]Population by Age'!E7</f>
        <v>6616.8701074837281</v>
      </c>
      <c r="H227" s="66">
        <f>'[4]Population by Age'!F7</f>
        <v>6856.0953628590414</v>
      </c>
      <c r="I227" s="66">
        <f>'[4]Population by Age'!G7</f>
        <v>7091.3457547894677</v>
      </c>
      <c r="J227" s="66">
        <f>'[4]Population by Age'!H7</f>
        <v>7290.1283260210548</v>
      </c>
    </row>
    <row r="228" spans="1:10" x14ac:dyDescent="0.3">
      <c r="A228" t="s">
        <v>20</v>
      </c>
      <c r="B228" t="s">
        <v>52</v>
      </c>
      <c r="C228" t="s">
        <v>57</v>
      </c>
      <c r="D228" s="66">
        <f>'[4]Population by Age'!B8</f>
        <v>309773.5209525972</v>
      </c>
      <c r="E228" s="66">
        <f>'[4]Population by Age'!C8</f>
        <v>324853.43943582271</v>
      </c>
      <c r="F228" s="66">
        <f>'[4]Population by Age'!D8</f>
        <v>336050.41319176171</v>
      </c>
      <c r="G228" s="66">
        <f>'[4]Population by Age'!E8</f>
        <v>348290.69854237244</v>
      </c>
      <c r="H228" s="66">
        <f>'[4]Population by Age'!F8</f>
        <v>359621.99877919804</v>
      </c>
      <c r="I228" s="66">
        <f>'[4]Population by Age'!G8</f>
        <v>366526.57285475254</v>
      </c>
      <c r="J228" s="66">
        <f>'[4]Population by Age'!H8</f>
        <v>375575.21344734944</v>
      </c>
    </row>
    <row r="229" spans="1:10" x14ac:dyDescent="0.3">
      <c r="A229" t="s">
        <v>45</v>
      </c>
      <c r="B229" t="s">
        <v>52</v>
      </c>
      <c r="C229" t="s">
        <v>57</v>
      </c>
      <c r="D229" s="66">
        <f>'[4]Population by Age'!B9</f>
        <v>6007.1658223048462</v>
      </c>
      <c r="E229" s="66">
        <f>'[4]Population by Age'!C9</f>
        <v>5895.6057442156743</v>
      </c>
      <c r="F229" s="66">
        <f>'[4]Population by Age'!D9</f>
        <v>5871.4570470025728</v>
      </c>
      <c r="G229" s="66">
        <f>'[4]Population by Age'!E9</f>
        <v>5798.3794252161033</v>
      </c>
      <c r="H229" s="66">
        <f>'[4]Population by Age'!F9</f>
        <v>5758.1538971325135</v>
      </c>
      <c r="I229" s="66">
        <f>'[4]Population by Age'!G9</f>
        <v>5674.326772685904</v>
      </c>
      <c r="J229" s="66">
        <f>'[4]Population by Age'!H9</f>
        <v>5610.5867615641164</v>
      </c>
    </row>
    <row r="230" spans="1:10" x14ac:dyDescent="0.3">
      <c r="A230" t="s">
        <v>46</v>
      </c>
      <c r="B230" t="s">
        <v>52</v>
      </c>
      <c r="C230" t="s">
        <v>57</v>
      </c>
      <c r="D230" s="66">
        <f>'[4]Population by Age'!B10</f>
        <v>14931.415922900182</v>
      </c>
      <c r="E230" s="66">
        <f>'[4]Population by Age'!C10</f>
        <v>15282.266136525253</v>
      </c>
      <c r="F230" s="66">
        <f>'[4]Population by Age'!D10</f>
        <v>15552.644154498597</v>
      </c>
      <c r="G230" s="66">
        <f>'[4]Population by Age'!E10</f>
        <v>16137.808243659973</v>
      </c>
      <c r="H230" s="66">
        <f>'[4]Population by Age'!F10</f>
        <v>16567.424573853037</v>
      </c>
      <c r="I230" s="66">
        <f>'[4]Population by Age'!G10</f>
        <v>16855.684097150177</v>
      </c>
      <c r="J230" s="66">
        <f>'[4]Population by Age'!H10</f>
        <v>17131.832716342447</v>
      </c>
    </row>
    <row r="231" spans="1:10" x14ac:dyDescent="0.3">
      <c r="A231" t="s">
        <v>21</v>
      </c>
      <c r="B231" t="s">
        <v>52</v>
      </c>
      <c r="C231" t="s">
        <v>57</v>
      </c>
      <c r="D231" s="66">
        <f>'[4]Population by Age'!B11</f>
        <v>41098.689665076068</v>
      </c>
      <c r="E231" s="66">
        <f>'[4]Population by Age'!C11</f>
        <v>43793.054880020369</v>
      </c>
      <c r="F231" s="66">
        <f>'[4]Population by Age'!D11</f>
        <v>45864.897357579212</v>
      </c>
      <c r="G231" s="66">
        <f>'[4]Population by Age'!E11</f>
        <v>49473.022784910907</v>
      </c>
      <c r="H231" s="66">
        <f>'[4]Population by Age'!F11</f>
        <v>51485.736870259097</v>
      </c>
      <c r="I231" s="66">
        <f>'[4]Population by Age'!G11</f>
        <v>52211.186408954476</v>
      </c>
      <c r="J231" s="66">
        <f>'[4]Population by Age'!H11</f>
        <v>52939.902274758904</v>
      </c>
    </row>
    <row r="232" spans="1:10" x14ac:dyDescent="0.3">
      <c r="A232" t="s">
        <v>47</v>
      </c>
      <c r="B232" t="s">
        <v>52</v>
      </c>
      <c r="C232" t="s">
        <v>57</v>
      </c>
      <c r="D232" s="66">
        <f>'[4]Population by Age'!B12</f>
        <v>10359.89182630824</v>
      </c>
      <c r="E232" s="66">
        <f>'[4]Population by Age'!C12</f>
        <v>10139.05936041166</v>
      </c>
      <c r="F232" s="66">
        <f>'[4]Population by Age'!D12</f>
        <v>10007.720969654029</v>
      </c>
      <c r="G232" s="66">
        <f>'[4]Population by Age'!E12</f>
        <v>10026.268703629374</v>
      </c>
      <c r="H232" s="66">
        <f>'[4]Population by Age'!F12</f>
        <v>10017.345256303168</v>
      </c>
      <c r="I232" s="66">
        <f>'[4]Population by Age'!G12</f>
        <v>9939.5064022475126</v>
      </c>
      <c r="J232" s="66">
        <f>'[4]Population by Age'!H12</f>
        <v>9832.3658346794327</v>
      </c>
    </row>
    <row r="233" spans="1:10" x14ac:dyDescent="0.3">
      <c r="A233" t="s">
        <v>22</v>
      </c>
      <c r="B233" t="s">
        <v>52</v>
      </c>
      <c r="C233" t="s">
        <v>57</v>
      </c>
      <c r="D233" s="66">
        <f>'[4]Population by Age'!B13</f>
        <v>8858.5687716613866</v>
      </c>
      <c r="E233" s="66">
        <f>'[4]Population by Age'!C13</f>
        <v>8998.9675807862277</v>
      </c>
      <c r="F233" s="66">
        <f>'[4]Population by Age'!D13</f>
        <v>9103.5586484847972</v>
      </c>
      <c r="G233" s="66">
        <f>'[4]Population by Age'!E13</f>
        <v>9398.6890117466028</v>
      </c>
      <c r="H233" s="66">
        <f>'[4]Population by Age'!F13</f>
        <v>9510.6772037751962</v>
      </c>
      <c r="I233" s="66">
        <f>'[4]Population by Age'!G13</f>
        <v>9885.7182131393984</v>
      </c>
      <c r="J233" s="66">
        <f>'[4]Population by Age'!H13</f>
        <v>10299.994395554731</v>
      </c>
    </row>
    <row r="234" spans="1:10" x14ac:dyDescent="0.3">
      <c r="A234" t="s">
        <v>48</v>
      </c>
      <c r="B234" t="s">
        <v>52</v>
      </c>
      <c r="C234" t="s">
        <v>57</v>
      </c>
      <c r="D234" s="66">
        <f>'[4]Population by Age'!B14</f>
        <v>13770.130256413764</v>
      </c>
      <c r="E234" s="66">
        <f>'[4]Population by Age'!C14</f>
        <v>13780.254207080172</v>
      </c>
      <c r="F234" s="66">
        <f>'[4]Population by Age'!D14</f>
        <v>13630.834774321616</v>
      </c>
      <c r="G234" s="66">
        <f>'[4]Population by Age'!E14</f>
        <v>13168.756824930993</v>
      </c>
      <c r="H234" s="66">
        <f>'[4]Population by Age'!F14</f>
        <v>12846.025240378467</v>
      </c>
      <c r="I234" s="66">
        <f>'[4]Population by Age'!G14</f>
        <v>12951.087630134394</v>
      </c>
      <c r="J234" s="66">
        <f>'[4]Population by Age'!H14</f>
        <v>13179.203078176775</v>
      </c>
    </row>
    <row r="235" spans="1:10" x14ac:dyDescent="0.3">
      <c r="A235" t="s">
        <v>49</v>
      </c>
      <c r="B235" t="s">
        <v>52</v>
      </c>
      <c r="C235" t="s">
        <v>57</v>
      </c>
      <c r="D235" s="66">
        <f>'[4]Population by Age'!B15</f>
        <v>7663.3220727341277</v>
      </c>
      <c r="E235" s="66">
        <f>'[4]Population by Age'!C15</f>
        <v>7442.8843591855903</v>
      </c>
      <c r="F235" s="66">
        <f>'[4]Population by Age'!D15</f>
        <v>7508.5004466347245</v>
      </c>
      <c r="G235" s="66">
        <f>'[4]Population by Age'!E15</f>
        <v>7844.7035497815959</v>
      </c>
      <c r="H235" s="66">
        <f>'[4]Population by Age'!F15</f>
        <v>7990.7423945505861</v>
      </c>
      <c r="I235" s="66">
        <f>'[4]Population by Age'!G15</f>
        <v>8010.728679254441</v>
      </c>
      <c r="J235" s="66">
        <f>'[4]Population by Age'!H15</f>
        <v>7951.6397024779972</v>
      </c>
    </row>
    <row r="236" spans="1:10" x14ac:dyDescent="0.3">
      <c r="A236" t="s">
        <v>50</v>
      </c>
      <c r="B236" t="s">
        <v>52</v>
      </c>
      <c r="C236" t="s">
        <v>57</v>
      </c>
      <c r="D236" s="66">
        <f>'[4]Population by Age'!B16</f>
        <v>8087.6459112307311</v>
      </c>
      <c r="E236" s="66">
        <f>'[4]Population by Age'!C16</f>
        <v>8338.769247659613</v>
      </c>
      <c r="F236" s="66">
        <f>'[4]Population by Age'!D16</f>
        <v>8345.9653423688615</v>
      </c>
      <c r="G236" s="66">
        <f>'[4]Population by Age'!E16</f>
        <v>8414.617240112555</v>
      </c>
      <c r="H236" s="66">
        <f>'[4]Population by Age'!F16</f>
        <v>8520.4134637264324</v>
      </c>
      <c r="I236" s="66">
        <f>'[4]Population by Age'!G16</f>
        <v>8594.51626035548</v>
      </c>
      <c r="J236" s="66">
        <f>'[4]Population by Age'!H16</f>
        <v>8700.431226387831</v>
      </c>
    </row>
    <row r="237" spans="1:10" x14ac:dyDescent="0.3">
      <c r="A237" t="s">
        <v>23</v>
      </c>
      <c r="B237" t="s">
        <v>52</v>
      </c>
      <c r="C237" t="s">
        <v>57</v>
      </c>
      <c r="D237" s="66">
        <f>'[4]Population by Age'!B17</f>
        <v>12481.485191957145</v>
      </c>
      <c r="E237" s="66">
        <f>'[4]Population by Age'!C17</f>
        <v>12793.193021688647</v>
      </c>
      <c r="F237" s="66">
        <f>'[4]Population by Age'!D17</f>
        <v>13146.834562919956</v>
      </c>
      <c r="G237" s="66">
        <f>'[4]Population by Age'!E17</f>
        <v>13574.403106266223</v>
      </c>
      <c r="H237" s="66">
        <f>'[4]Population by Age'!F17</f>
        <v>13898.212626463008</v>
      </c>
      <c r="I237" s="66">
        <f>'[4]Population by Age'!G17</f>
        <v>14492.295430841039</v>
      </c>
      <c r="J237" s="66">
        <f>'[4]Population by Age'!H17</f>
        <v>15181.179947283839</v>
      </c>
    </row>
    <row r="238" spans="1:10" x14ac:dyDescent="0.3">
      <c r="A238" t="s">
        <v>51</v>
      </c>
      <c r="B238" t="s">
        <v>52</v>
      </c>
      <c r="C238" t="s">
        <v>57</v>
      </c>
      <c r="D238" s="66">
        <f>'[4]Population by Age'!B18</f>
        <v>16056.42728784206</v>
      </c>
      <c r="E238" s="66">
        <f>'[4]Population by Age'!C18</f>
        <v>15672.694818639011</v>
      </c>
      <c r="F238" s="66">
        <f>'[4]Population by Age'!D18</f>
        <v>15226.855419692933</v>
      </c>
      <c r="G238" s="66">
        <f>'[4]Population by Age'!E18</f>
        <v>15027.689243558001</v>
      </c>
      <c r="H238" s="66">
        <f>'[4]Population by Age'!F18</f>
        <v>14687.23015868631</v>
      </c>
      <c r="I238" s="66">
        <f>'[4]Population by Age'!G18</f>
        <v>14712.736102732644</v>
      </c>
      <c r="J238" s="66">
        <f>'[4]Population by Age'!H18</f>
        <v>14784.499000366382</v>
      </c>
    </row>
    <row r="239" spans="1:10" x14ac:dyDescent="0.3">
      <c r="A239" t="s">
        <v>24</v>
      </c>
      <c r="B239" t="s">
        <v>52</v>
      </c>
      <c r="C239" t="s">
        <v>57</v>
      </c>
      <c r="D239" s="66">
        <f>'[4]Population by Age'!B19</f>
        <v>15071.25030115564</v>
      </c>
      <c r="E239" s="66">
        <f>'[4]Population by Age'!C19</f>
        <v>16083.347970209572</v>
      </c>
      <c r="F239" s="66">
        <f>'[4]Population by Age'!D19</f>
        <v>17995.235207177706</v>
      </c>
      <c r="G239" s="66">
        <f>'[4]Population by Age'!E19</f>
        <v>19991.599887105269</v>
      </c>
      <c r="H239" s="66">
        <f>'[4]Population by Age'!F19</f>
        <v>21634.900115514207</v>
      </c>
      <c r="I239" s="66">
        <f>'[4]Population by Age'!G19</f>
        <v>22646.108671687452</v>
      </c>
      <c r="J239" s="66">
        <f>'[4]Population by Age'!H19</f>
        <v>23535.020220866241</v>
      </c>
    </row>
    <row r="240" spans="1:10" x14ac:dyDescent="0.3">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3">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3">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3">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3">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3">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3">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3">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3">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3">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3">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3">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3">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3">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3">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3">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3">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3">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3">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3">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3">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3">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3">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3">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3">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3">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3">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3">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3">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3">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3">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3">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3">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3">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3">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3">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3">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3">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3">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3">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3">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3">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3">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3">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3">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3">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3">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3">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3">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3">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3">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3">
      <c r="A291" t="s">
        <v>53</v>
      </c>
      <c r="B291" t="s">
        <v>65</v>
      </c>
      <c r="C291" t="s">
        <v>17</v>
      </c>
      <c r="D291" s="2">
        <f>'[4]Residential Labor Force'!B40</f>
        <v>1204279.8923639723</v>
      </c>
      <c r="E291" s="2">
        <f>'[4]Residential Labor Force'!C40</f>
        <v>1256416.7634531902</v>
      </c>
      <c r="F291" s="2">
        <f>'[4]Residential Labor Force'!D40</f>
        <v>1304394.8204296334</v>
      </c>
      <c r="G291" s="2">
        <f>'[4]Residential Labor Force'!E40</f>
        <v>1374687.3236368611</v>
      </c>
      <c r="H291" s="2">
        <f>'[4]Residential Labor Force'!F40</f>
        <v>1437348.1974473326</v>
      </c>
      <c r="I291" s="2">
        <f>'[4]Residential Labor Force'!G40</f>
        <v>1494357.2816536203</v>
      </c>
      <c r="J291" s="2">
        <f>'[4]Residential Labor Force'!H40</f>
        <v>1547404.0853264728</v>
      </c>
    </row>
    <row r="292" spans="1:10" x14ac:dyDescent="0.3">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3">
      <c r="A293" t="s">
        <v>18</v>
      </c>
      <c r="B293" t="s">
        <v>65</v>
      </c>
      <c r="C293" t="s">
        <v>17</v>
      </c>
      <c r="D293" s="2">
        <f>'[4]Residential Labor Force'!B25</f>
        <v>111335.78041435702</v>
      </c>
      <c r="E293" s="2">
        <f>'[4]Residential Labor Force'!C25</f>
        <v>127725.14896018124</v>
      </c>
      <c r="F293" s="2">
        <f>'[4]Residential Labor Force'!D25</f>
        <v>141809.29842934397</v>
      </c>
      <c r="G293" s="2">
        <f>'[4]Residential Labor Force'!E25</f>
        <v>156745.32279098243</v>
      </c>
      <c r="H293" s="2">
        <f>'[4]Residential Labor Force'!F25</f>
        <v>170552.38646401546</v>
      </c>
      <c r="I293" s="2">
        <f>'[4]Residential Labor Force'!G25</f>
        <v>184043.86451323694</v>
      </c>
      <c r="J293" s="2">
        <f>'[4]Residential Labor Force'!H25</f>
        <v>198234.73924956858</v>
      </c>
    </row>
    <row r="294" spans="1:10" x14ac:dyDescent="0.3">
      <c r="A294" t="s">
        <v>19</v>
      </c>
      <c r="B294" t="s">
        <v>65</v>
      </c>
      <c r="C294" t="s">
        <v>17</v>
      </c>
      <c r="D294" s="2">
        <f>'[4]Residential Labor Force'!B26</f>
        <v>76138.360906999034</v>
      </c>
      <c r="E294" s="2">
        <f>'[4]Residential Labor Force'!C26</f>
        <v>79745.120952505589</v>
      </c>
      <c r="F294" s="2">
        <f>'[4]Residential Labor Force'!D26</f>
        <v>82919.697853921229</v>
      </c>
      <c r="G294" s="2">
        <f>'[4]Residential Labor Force'!E26</f>
        <v>87392.127612758617</v>
      </c>
      <c r="H294" s="2">
        <f>'[4]Residential Labor Force'!F26</f>
        <v>92057.483755038455</v>
      </c>
      <c r="I294" s="2">
        <f>'[4]Residential Labor Force'!G26</f>
        <v>96794.147584334336</v>
      </c>
      <c r="J294" s="2">
        <f>'[4]Residential Labor Force'!H26</f>
        <v>101341.57417715498</v>
      </c>
    </row>
    <row r="295" spans="1:10" x14ac:dyDescent="0.3">
      <c r="A295" t="s">
        <v>44</v>
      </c>
      <c r="B295" t="s">
        <v>65</v>
      </c>
      <c r="C295" t="s">
        <v>17</v>
      </c>
      <c r="D295" s="2">
        <f>'[4]Residential Labor Force'!B27</f>
        <v>12436.28031370558</v>
      </c>
      <c r="E295" s="2">
        <f>'[4]Residential Labor Force'!C27</f>
        <v>12591.986770452721</v>
      </c>
      <c r="F295" s="2">
        <f>'[4]Residential Labor Force'!D27</f>
        <v>12823.592837027492</v>
      </c>
      <c r="G295" s="2">
        <f>'[4]Residential Labor Force'!E27</f>
        <v>13019.7820971646</v>
      </c>
      <c r="H295" s="2">
        <f>'[4]Residential Labor Force'!F27</f>
        <v>13220.271482899805</v>
      </c>
      <c r="I295" s="2">
        <f>'[4]Residential Labor Force'!G27</f>
        <v>13471.562565988474</v>
      </c>
      <c r="J295" s="2">
        <f>'[4]Residential Labor Force'!H27</f>
        <v>13763.204890321625</v>
      </c>
    </row>
    <row r="296" spans="1:10" x14ac:dyDescent="0.3">
      <c r="A296" t="s">
        <v>20</v>
      </c>
      <c r="B296" t="s">
        <v>65</v>
      </c>
      <c r="C296" t="s">
        <v>17</v>
      </c>
      <c r="D296" s="2">
        <f>'[4]Residential Labor Force'!B28</f>
        <v>690253.54017102916</v>
      </c>
      <c r="E296" s="2">
        <f>'[4]Residential Labor Force'!C28</f>
        <v>715847.32991193177</v>
      </c>
      <c r="F296" s="2">
        <f>'[4]Residential Labor Force'!D28</f>
        <v>739679.18103110814</v>
      </c>
      <c r="G296" s="2">
        <f>'[4]Residential Labor Force'!E28</f>
        <v>776481.70170126739</v>
      </c>
      <c r="H296" s="2">
        <f>'[4]Residential Labor Force'!F28</f>
        <v>808149.05588250014</v>
      </c>
      <c r="I296" s="2">
        <f>'[4]Residential Labor Force'!G28</f>
        <v>835226.46386402426</v>
      </c>
      <c r="J296" s="2">
        <f>'[4]Residential Labor Force'!H28</f>
        <v>858616.17203593871</v>
      </c>
    </row>
    <row r="297" spans="1:10" x14ac:dyDescent="0.3">
      <c r="A297" t="s">
        <v>45</v>
      </c>
      <c r="B297" t="s">
        <v>65</v>
      </c>
      <c r="C297" t="s">
        <v>17</v>
      </c>
      <c r="D297" s="2">
        <f>'[4]Residential Labor Force'!B29</f>
        <v>12666.417598141934</v>
      </c>
      <c r="E297" s="2">
        <f>'[4]Residential Labor Force'!C29</f>
        <v>12321.791121419543</v>
      </c>
      <c r="F297" s="2">
        <f>'[4]Residential Labor Force'!D29</f>
        <v>11987.448637440692</v>
      </c>
      <c r="G297" s="2">
        <f>'[4]Residential Labor Force'!E29</f>
        <v>11841.091175286179</v>
      </c>
      <c r="H297" s="2">
        <f>'[4]Residential Labor Force'!F29</f>
        <v>11762.68873136991</v>
      </c>
      <c r="I297" s="2">
        <f>'[4]Residential Labor Force'!G29</f>
        <v>11744.891363306799</v>
      </c>
      <c r="J297" s="2">
        <f>'[4]Residential Labor Force'!H29</f>
        <v>11693.64213172241</v>
      </c>
    </row>
    <row r="298" spans="1:10" x14ac:dyDescent="0.3">
      <c r="A298" t="s">
        <v>46</v>
      </c>
      <c r="B298" t="s">
        <v>65</v>
      </c>
      <c r="C298" t="s">
        <v>17</v>
      </c>
      <c r="D298" s="2">
        <f>'[4]Residential Labor Force'!B30</f>
        <v>29137.951748750078</v>
      </c>
      <c r="E298" s="2">
        <f>'[4]Residential Labor Force'!C30</f>
        <v>29069.018050881285</v>
      </c>
      <c r="F298" s="2">
        <f>'[4]Residential Labor Force'!D30</f>
        <v>29055.896409794845</v>
      </c>
      <c r="G298" s="2">
        <f>'[4]Residential Labor Force'!E30</f>
        <v>29602.505481968579</v>
      </c>
      <c r="H298" s="2">
        <f>'[4]Residential Labor Force'!F30</f>
        <v>30222.518410452365</v>
      </c>
      <c r="I298" s="2">
        <f>'[4]Residential Labor Force'!G30</f>
        <v>30952.217838746008</v>
      </c>
      <c r="J298" s="2">
        <f>'[4]Residential Labor Force'!H30</f>
        <v>31611.063039717621</v>
      </c>
    </row>
    <row r="299" spans="1:10" x14ac:dyDescent="0.3">
      <c r="A299" t="s">
        <v>21</v>
      </c>
      <c r="B299" t="s">
        <v>65</v>
      </c>
      <c r="C299" t="s">
        <v>17</v>
      </c>
      <c r="D299" s="2">
        <f>'[4]Residential Labor Force'!B31</f>
        <v>85825.134269092508</v>
      </c>
      <c r="E299" s="2">
        <f>'[4]Residential Labor Force'!C31</f>
        <v>90277.653744404335</v>
      </c>
      <c r="F299" s="2">
        <f>'[4]Residential Labor Force'!D31</f>
        <v>93771.229559812025</v>
      </c>
      <c r="G299" s="2">
        <f>'[4]Residential Labor Force'!E31</f>
        <v>101207.49128483077</v>
      </c>
      <c r="H299" s="2">
        <f>'[4]Residential Labor Force'!F31</f>
        <v>106186.70258054114</v>
      </c>
      <c r="I299" s="2">
        <f>'[4]Residential Labor Force'!G31</f>
        <v>110000.20640946127</v>
      </c>
      <c r="J299" s="2">
        <f>'[4]Residential Labor Force'!H31</f>
        <v>113356.33481840862</v>
      </c>
    </row>
    <row r="300" spans="1:10" x14ac:dyDescent="0.3">
      <c r="A300" t="s">
        <v>47</v>
      </c>
      <c r="B300" t="s">
        <v>65</v>
      </c>
      <c r="C300" t="s">
        <v>17</v>
      </c>
      <c r="D300" s="2">
        <f>'[4]Residential Labor Force'!B32</f>
        <v>21427.946773936193</v>
      </c>
      <c r="E300" s="2">
        <f>'[4]Residential Labor Force'!C32</f>
        <v>21022.82496334978</v>
      </c>
      <c r="F300" s="2">
        <f>'[4]Residential Labor Force'!D32</f>
        <v>20870.230520062727</v>
      </c>
      <c r="G300" s="2">
        <f>'[4]Residential Labor Force'!E32</f>
        <v>20902.017444389065</v>
      </c>
      <c r="H300" s="2">
        <f>'[4]Residential Labor Force'!F32</f>
        <v>21107.711031592204</v>
      </c>
      <c r="I300" s="2">
        <f>'[4]Residential Labor Force'!G32</f>
        <v>21463.637549722556</v>
      </c>
      <c r="J300" s="2">
        <f>'[4]Residential Labor Force'!H32</f>
        <v>21792.494083628051</v>
      </c>
    </row>
    <row r="301" spans="1:10" x14ac:dyDescent="0.3">
      <c r="A301" t="s">
        <v>22</v>
      </c>
      <c r="B301" t="s">
        <v>65</v>
      </c>
      <c r="C301" t="s">
        <v>17</v>
      </c>
      <c r="D301" s="2">
        <f>'[4]Residential Labor Force'!B33</f>
        <v>19186.439102798147</v>
      </c>
      <c r="E301" s="2">
        <f>'[4]Residential Labor Force'!C33</f>
        <v>20163.57879367737</v>
      </c>
      <c r="F301" s="2">
        <f>'[4]Residential Labor Force'!D33</f>
        <v>20905.495353920513</v>
      </c>
      <c r="G301" s="2">
        <f>'[4]Residential Labor Force'!E33</f>
        <v>21854.205462015918</v>
      </c>
      <c r="H301" s="2">
        <f>'[4]Residential Labor Force'!F33</f>
        <v>22838.547464874962</v>
      </c>
      <c r="I301" s="2">
        <f>'[4]Residential Labor Force'!G33</f>
        <v>23792.464023804445</v>
      </c>
      <c r="J301" s="2">
        <f>'[4]Residential Labor Force'!H33</f>
        <v>24771.688076500493</v>
      </c>
    </row>
    <row r="302" spans="1:10" x14ac:dyDescent="0.3">
      <c r="A302" t="s">
        <v>48</v>
      </c>
      <c r="B302" t="s">
        <v>65</v>
      </c>
      <c r="C302" t="s">
        <v>17</v>
      </c>
      <c r="D302" s="2">
        <f>'[4]Residential Labor Force'!B34</f>
        <v>26199.425729390183</v>
      </c>
      <c r="E302" s="2">
        <f>'[4]Residential Labor Force'!C34</f>
        <v>25586.829822131502</v>
      </c>
      <c r="F302" s="2">
        <f>'[4]Residential Labor Force'!D34</f>
        <v>25379.235950962153</v>
      </c>
      <c r="G302" s="2">
        <f>'[4]Residential Labor Force'!E34</f>
        <v>25738.975156604567</v>
      </c>
      <c r="H302" s="2">
        <f>'[4]Residential Labor Force'!F34</f>
        <v>26023.512588321257</v>
      </c>
      <c r="I302" s="2">
        <f>'[4]Residential Labor Force'!G34</f>
        <v>26034.337432885586</v>
      </c>
      <c r="J302" s="2">
        <f>'[4]Residential Labor Force'!H34</f>
        <v>25881.081478315729</v>
      </c>
    </row>
    <row r="303" spans="1:10" x14ac:dyDescent="0.3">
      <c r="A303" t="s">
        <v>49</v>
      </c>
      <c r="B303" t="s">
        <v>65</v>
      </c>
      <c r="C303" t="s">
        <v>17</v>
      </c>
      <c r="D303" s="2">
        <f>'[4]Residential Labor Force'!B35</f>
        <v>17527.984182592922</v>
      </c>
      <c r="E303" s="2">
        <f>'[4]Residential Labor Force'!C35</f>
        <v>18023.537407270564</v>
      </c>
      <c r="F303" s="2">
        <f>'[4]Residential Labor Force'!D35</f>
        <v>18220.411119200431</v>
      </c>
      <c r="G303" s="2">
        <f>'[4]Residential Labor Force'!E35</f>
        <v>18723.234791208819</v>
      </c>
      <c r="H303" s="2">
        <f>'[4]Residential Labor Force'!F35</f>
        <v>19188.119746120767</v>
      </c>
      <c r="I303" s="2">
        <f>'[4]Residential Labor Force'!G35</f>
        <v>19707.524249753395</v>
      </c>
      <c r="J303" s="2">
        <f>'[4]Residential Labor Force'!H35</f>
        <v>20304.659138979339</v>
      </c>
    </row>
    <row r="304" spans="1:10" x14ac:dyDescent="0.3">
      <c r="A304" t="s">
        <v>50</v>
      </c>
      <c r="B304" t="s">
        <v>65</v>
      </c>
      <c r="C304" t="s">
        <v>17</v>
      </c>
      <c r="D304" s="2">
        <f>'[4]Residential Labor Force'!B36</f>
        <v>14842.119673865027</v>
      </c>
      <c r="E304" s="2">
        <f>'[4]Residential Labor Force'!C36</f>
        <v>15069.796314808724</v>
      </c>
      <c r="F304" s="2">
        <f>'[4]Residential Labor Force'!D36</f>
        <v>15026.073358960335</v>
      </c>
      <c r="G304" s="2">
        <f>'[4]Residential Labor Force'!E36</f>
        <v>15163.324024498359</v>
      </c>
      <c r="H304" s="2">
        <f>'[4]Residential Labor Force'!F36</f>
        <v>15360.747861785583</v>
      </c>
      <c r="I304" s="2">
        <f>'[4]Residential Labor Force'!G36</f>
        <v>15608.148766972316</v>
      </c>
      <c r="J304" s="2">
        <f>'[4]Residential Labor Force'!H36</f>
        <v>15877.735552356873</v>
      </c>
    </row>
    <row r="305" spans="1:10" x14ac:dyDescent="0.3">
      <c r="A305" t="s">
        <v>23</v>
      </c>
      <c r="B305" t="s">
        <v>65</v>
      </c>
      <c r="C305" t="s">
        <v>17</v>
      </c>
      <c r="D305" s="2">
        <f>'[4]Residential Labor Force'!B37</f>
        <v>24819.892327712791</v>
      </c>
      <c r="E305" s="2">
        <f>'[4]Residential Labor Force'!C37</f>
        <v>26252.470521294577</v>
      </c>
      <c r="F305" s="2">
        <f>'[4]Residential Labor Force'!D37</f>
        <v>27579.481324333341</v>
      </c>
      <c r="G305" s="2">
        <f>'[4]Residential Labor Force'!E37</f>
        <v>29175.115313987932</v>
      </c>
      <c r="H305" s="2">
        <f>'[4]Residential Labor Force'!F37</f>
        <v>30746.130663432334</v>
      </c>
      <c r="I305" s="2">
        <f>'[4]Residential Labor Force'!G37</f>
        <v>32193.643730303927</v>
      </c>
      <c r="J305" s="2">
        <f>'[4]Residential Labor Force'!H37</f>
        <v>33518.962434637535</v>
      </c>
    </row>
    <row r="306" spans="1:10" x14ac:dyDescent="0.3">
      <c r="A306" t="s">
        <v>51</v>
      </c>
      <c r="B306" t="s">
        <v>65</v>
      </c>
      <c r="C306" t="s">
        <v>17</v>
      </c>
      <c r="D306" s="2">
        <f>'[4]Residential Labor Force'!B38</f>
        <v>30710.846056993552</v>
      </c>
      <c r="E306" s="2">
        <f>'[4]Residential Labor Force'!C38</f>
        <v>29922.03227769661</v>
      </c>
      <c r="F306" s="2">
        <f>'[4]Residential Labor Force'!D38</f>
        <v>29407.876265683353</v>
      </c>
      <c r="G306" s="2">
        <f>'[4]Residential Labor Force'!E38</f>
        <v>29190.01013077614</v>
      </c>
      <c r="H306" s="2">
        <f>'[4]Residential Labor Force'!F38</f>
        <v>29166.356203596701</v>
      </c>
      <c r="I306" s="2">
        <f>'[4]Residential Labor Force'!G38</f>
        <v>29146.198321212112</v>
      </c>
      <c r="J306" s="2">
        <f>'[4]Residential Labor Force'!H38</f>
        <v>29117.515315499484</v>
      </c>
    </row>
    <row r="307" spans="1:10" x14ac:dyDescent="0.3">
      <c r="A307" t="s">
        <v>24</v>
      </c>
      <c r="B307" t="s">
        <v>65</v>
      </c>
      <c r="C307" t="s">
        <v>17</v>
      </c>
      <c r="D307" s="2">
        <f>'[4]Residential Labor Force'!B39</f>
        <v>31771.773094608314</v>
      </c>
      <c r="E307" s="2">
        <f>'[4]Residential Labor Force'!C39</f>
        <v>32797.643841184668</v>
      </c>
      <c r="F307" s="2">
        <f>'[4]Residential Labor Force'!D39</f>
        <v>34959.671778061806</v>
      </c>
      <c r="G307" s="2">
        <f>'[4]Residential Labor Force'!E39</f>
        <v>37650.419169121633</v>
      </c>
      <c r="H307" s="2">
        <f>'[4]Residential Labor Force'!F39</f>
        <v>40765.964580791129</v>
      </c>
      <c r="I307" s="2">
        <f>'[4]Residential Labor Force'!G39</f>
        <v>44177.973439867681</v>
      </c>
      <c r="J307" s="2">
        <f>'[4]Residential Labor Force'!H39</f>
        <v>47523.218903722758</v>
      </c>
    </row>
    <row r="308" spans="1:10" x14ac:dyDescent="0.3">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3">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3">
      <c r="A310" t="s">
        <v>18</v>
      </c>
      <c r="B310" t="s">
        <v>63</v>
      </c>
      <c r="C310" t="s">
        <v>89</v>
      </c>
      <c r="D310" s="2">
        <f>'[4]Household Population by Age'!B5</f>
        <v>53459.583726832556</v>
      </c>
      <c r="E310" s="2">
        <f>'[4]Household Population by Age'!C5</f>
        <v>57802.211467654452</v>
      </c>
      <c r="F310" s="2">
        <f>'[4]Household Population by Age'!D5</f>
        <v>62488.39684578064</v>
      </c>
      <c r="G310" s="2">
        <f>'[4]Household Population by Age'!E5</f>
        <v>68429.155709672006</v>
      </c>
      <c r="H310" s="2">
        <f>'[4]Household Population by Age'!F5</f>
        <v>74584.973531533033</v>
      </c>
      <c r="I310" s="2">
        <f>'[4]Household Population by Age'!G5</f>
        <v>80292.681834548057</v>
      </c>
      <c r="J310" s="2">
        <f>'[4]Household Population by Age'!H5</f>
        <v>85615.512780252422</v>
      </c>
    </row>
    <row r="311" spans="1:10" x14ac:dyDescent="0.3">
      <c r="A311" t="s">
        <v>19</v>
      </c>
      <c r="B311" t="s">
        <v>63</v>
      </c>
      <c r="C311" t="s">
        <v>89</v>
      </c>
      <c r="D311" s="2">
        <f>'[4]Household Population by Age'!B6</f>
        <v>37338.736271349422</v>
      </c>
      <c r="E311" s="2">
        <f>'[4]Household Population by Age'!C6</f>
        <v>39868.978376774852</v>
      </c>
      <c r="F311" s="2">
        <f>'[4]Household Population by Age'!D6</f>
        <v>42433.10632611662</v>
      </c>
      <c r="G311" s="2">
        <f>'[4]Household Population by Age'!E6</f>
        <v>45292.283996553808</v>
      </c>
      <c r="H311" s="2">
        <f>'[4]Household Population by Age'!F6</f>
        <v>47626.957096687824</v>
      </c>
      <c r="I311" s="2">
        <f>'[4]Household Population by Age'!G6</f>
        <v>49682.842434346465</v>
      </c>
      <c r="J311" s="2">
        <f>'[4]Household Population by Age'!H6</f>
        <v>51679.732864178513</v>
      </c>
    </row>
    <row r="312" spans="1:10" x14ac:dyDescent="0.3">
      <c r="A312" t="s">
        <v>44</v>
      </c>
      <c r="B312" t="s">
        <v>63</v>
      </c>
      <c r="C312" t="s">
        <v>89</v>
      </c>
      <c r="D312" s="2">
        <f>'[4]Household Population by Age'!B7</f>
        <v>6616.6189019909652</v>
      </c>
      <c r="E312" s="2">
        <f>'[4]Household Population by Age'!C7</f>
        <v>6617.3337001835789</v>
      </c>
      <c r="F312" s="2">
        <f>'[4]Household Population by Age'!D7</f>
        <v>6510.3178215743965</v>
      </c>
      <c r="G312" s="2">
        <f>'[4]Household Population by Age'!E7</f>
        <v>6616.8701074837281</v>
      </c>
      <c r="H312" s="2">
        <f>'[4]Household Population by Age'!F7</f>
        <v>6856.0953628590414</v>
      </c>
      <c r="I312" s="2">
        <f>'[4]Household Population by Age'!G7</f>
        <v>7091.3457547894677</v>
      </c>
      <c r="J312" s="2">
        <f>'[4]Household Population by Age'!H7</f>
        <v>7290.1283260210548</v>
      </c>
    </row>
    <row r="313" spans="1:10" x14ac:dyDescent="0.3">
      <c r="A313" t="s">
        <v>20</v>
      </c>
      <c r="B313" t="s">
        <v>63</v>
      </c>
      <c r="C313" t="s">
        <v>89</v>
      </c>
      <c r="D313" s="2">
        <f>'[4]Household Population by Age'!B8</f>
        <v>309386.5209525972</v>
      </c>
      <c r="E313" s="2">
        <f>'[4]Household Population by Age'!C8</f>
        <v>324447.43943582271</v>
      </c>
      <c r="F313" s="2">
        <f>'[4]Household Population by Age'!D8</f>
        <v>335630.41319176171</v>
      </c>
      <c r="G313" s="2">
        <f>'[4]Household Population by Age'!E8</f>
        <v>347855.69854237244</v>
      </c>
      <c r="H313" s="2">
        <f>'[4]Household Population by Age'!F8</f>
        <v>359171.99877919804</v>
      </c>
      <c r="I313" s="2">
        <f>'[4]Household Population by Age'!G8</f>
        <v>366068.57285475254</v>
      </c>
      <c r="J313" s="2">
        <f>'[4]Household Population by Age'!H8</f>
        <v>375105.21344734944</v>
      </c>
    </row>
    <row r="314" spans="1:10" x14ac:dyDescent="0.3">
      <c r="A314" t="s">
        <v>45</v>
      </c>
      <c r="B314" t="s">
        <v>63</v>
      </c>
      <c r="C314" t="s">
        <v>89</v>
      </c>
      <c r="D314" s="2">
        <f>'[4]Household Population by Age'!B9</f>
        <v>6007.1658223048462</v>
      </c>
      <c r="E314" s="2">
        <f>'[4]Household Population by Age'!C9</f>
        <v>5895.6057442156743</v>
      </c>
      <c r="F314" s="2">
        <f>'[4]Household Population by Age'!D9</f>
        <v>5871.4570470025728</v>
      </c>
      <c r="G314" s="2">
        <f>'[4]Household Population by Age'!E9</f>
        <v>5798.3794252161033</v>
      </c>
      <c r="H314" s="2">
        <f>'[4]Household Population by Age'!F9</f>
        <v>5758.1538971325135</v>
      </c>
      <c r="I314" s="2">
        <f>'[4]Household Population by Age'!G9</f>
        <v>5674.326772685904</v>
      </c>
      <c r="J314" s="2">
        <f>'[4]Household Population by Age'!H9</f>
        <v>5610.5867615641164</v>
      </c>
    </row>
    <row r="315" spans="1:10" x14ac:dyDescent="0.3">
      <c r="A315" t="s">
        <v>46</v>
      </c>
      <c r="B315" t="s">
        <v>63</v>
      </c>
      <c r="C315" t="s">
        <v>89</v>
      </c>
      <c r="D315" s="2">
        <f>'[4]Household Population by Age'!B10</f>
        <v>14854.415922900182</v>
      </c>
      <c r="E315" s="2">
        <f>'[4]Household Population by Age'!C10</f>
        <v>15203.266136525253</v>
      </c>
      <c r="F315" s="2">
        <f>'[4]Household Population by Age'!D10</f>
        <v>15471.644154498597</v>
      </c>
      <c r="G315" s="2">
        <f>'[4]Household Population by Age'!E10</f>
        <v>16053.808243659973</v>
      </c>
      <c r="H315" s="2">
        <f>'[4]Household Population by Age'!F10</f>
        <v>16481.424573853037</v>
      </c>
      <c r="I315" s="2">
        <f>'[4]Household Population by Age'!G10</f>
        <v>16768.684097150177</v>
      </c>
      <c r="J315" s="2">
        <f>'[4]Household Population by Age'!H10</f>
        <v>17042.832716342447</v>
      </c>
    </row>
    <row r="316" spans="1:10" x14ac:dyDescent="0.3">
      <c r="A316" t="s">
        <v>21</v>
      </c>
      <c r="B316" t="s">
        <v>63</v>
      </c>
      <c r="C316" t="s">
        <v>89</v>
      </c>
      <c r="D316" s="2">
        <f>'[4]Household Population by Age'!B11</f>
        <v>41091.689665076068</v>
      </c>
      <c r="E316" s="2">
        <f>'[4]Household Population by Age'!C11</f>
        <v>43785.054880020369</v>
      </c>
      <c r="F316" s="2">
        <f>'[4]Household Population by Age'!D11</f>
        <v>45856.897357579212</v>
      </c>
      <c r="G316" s="2">
        <f>'[4]Household Population by Age'!E11</f>
        <v>49464.022784910907</v>
      </c>
      <c r="H316" s="2">
        <f>'[4]Household Population by Age'!F11</f>
        <v>51476.736870259097</v>
      </c>
      <c r="I316" s="2">
        <f>'[4]Household Population by Age'!G11</f>
        <v>52202.186408954476</v>
      </c>
      <c r="J316" s="2">
        <f>'[4]Household Population by Age'!H11</f>
        <v>52930.902274758904</v>
      </c>
    </row>
    <row r="317" spans="1:10" x14ac:dyDescent="0.3">
      <c r="A317" t="s">
        <v>47</v>
      </c>
      <c r="B317" t="s">
        <v>63</v>
      </c>
      <c r="C317" t="s">
        <v>89</v>
      </c>
      <c r="D317" s="2">
        <f>'[4]Household Population by Age'!B12</f>
        <v>10295.89182630824</v>
      </c>
      <c r="E317" s="2">
        <f>'[4]Household Population by Age'!C12</f>
        <v>10076.05936041166</v>
      </c>
      <c r="F317" s="2">
        <f>'[4]Household Population by Age'!D12</f>
        <v>9945.7209696540285</v>
      </c>
      <c r="G317" s="2">
        <f>'[4]Household Population by Age'!E12</f>
        <v>9964.2687036293737</v>
      </c>
      <c r="H317" s="2">
        <f>'[4]Household Population by Age'!F12</f>
        <v>9955.3452563031678</v>
      </c>
      <c r="I317" s="2">
        <f>'[4]Household Population by Age'!G12</f>
        <v>9877.5064022475126</v>
      </c>
      <c r="J317" s="2">
        <f>'[4]Household Population by Age'!H12</f>
        <v>9771.3658346794327</v>
      </c>
    </row>
    <row r="318" spans="1:10" x14ac:dyDescent="0.3">
      <c r="A318" t="s">
        <v>22</v>
      </c>
      <c r="B318" t="s">
        <v>63</v>
      </c>
      <c r="C318" t="s">
        <v>89</v>
      </c>
      <c r="D318" s="2">
        <f>'[4]Household Population by Age'!B13</f>
        <v>8858.5687716613866</v>
      </c>
      <c r="E318" s="2">
        <f>'[4]Household Population by Age'!C13</f>
        <v>8998.9675807862277</v>
      </c>
      <c r="F318" s="2">
        <f>'[4]Household Population by Age'!D13</f>
        <v>9103.5586484847972</v>
      </c>
      <c r="G318" s="2">
        <f>'[4]Household Population by Age'!E13</f>
        <v>9398.6890117466028</v>
      </c>
      <c r="H318" s="2">
        <f>'[4]Household Population by Age'!F13</f>
        <v>9510.6772037751962</v>
      </c>
      <c r="I318" s="2">
        <f>'[4]Household Population by Age'!G13</f>
        <v>9885.7182131393984</v>
      </c>
      <c r="J318" s="2">
        <f>'[4]Household Population by Age'!H13</f>
        <v>10299.994395554731</v>
      </c>
    </row>
    <row r="319" spans="1:10" x14ac:dyDescent="0.3">
      <c r="A319" t="s">
        <v>48</v>
      </c>
      <c r="B319" t="s">
        <v>63</v>
      </c>
      <c r="C319" t="s">
        <v>89</v>
      </c>
      <c r="D319" s="2">
        <f>'[4]Household Population by Age'!B14</f>
        <v>13725.130256413764</v>
      </c>
      <c r="E319" s="2">
        <f>'[4]Household Population by Age'!C14</f>
        <v>13735.254207080172</v>
      </c>
      <c r="F319" s="2">
        <f>'[4]Household Population by Age'!D14</f>
        <v>13585.834774321616</v>
      </c>
      <c r="G319" s="2">
        <f>'[4]Household Population by Age'!E14</f>
        <v>13125.756824930993</v>
      </c>
      <c r="H319" s="2">
        <f>'[4]Household Population by Age'!F14</f>
        <v>12804.025240378467</v>
      </c>
      <c r="I319" s="2">
        <f>'[4]Household Population by Age'!G14</f>
        <v>12909.087630134394</v>
      </c>
      <c r="J319" s="2">
        <f>'[4]Household Population by Age'!H14</f>
        <v>13136.203078176775</v>
      </c>
    </row>
    <row r="320" spans="1:10" x14ac:dyDescent="0.3">
      <c r="A320" t="s">
        <v>49</v>
      </c>
      <c r="B320" t="s">
        <v>63</v>
      </c>
      <c r="C320" t="s">
        <v>89</v>
      </c>
      <c r="D320" s="2">
        <f>'[4]Household Population by Age'!B15</f>
        <v>7661.3220727341277</v>
      </c>
      <c r="E320" s="2">
        <f>'[4]Household Population by Age'!C15</f>
        <v>7440.8843591855903</v>
      </c>
      <c r="F320" s="2">
        <f>'[4]Household Population by Age'!D15</f>
        <v>7506.5004466347245</v>
      </c>
      <c r="G320" s="2">
        <f>'[4]Household Population by Age'!E15</f>
        <v>7842.7035497815959</v>
      </c>
      <c r="H320" s="2">
        <f>'[4]Household Population by Age'!F15</f>
        <v>7988.7423945505861</v>
      </c>
      <c r="I320" s="2">
        <f>'[4]Household Population by Age'!G15</f>
        <v>8008.728679254441</v>
      </c>
      <c r="J320" s="2">
        <f>'[4]Household Population by Age'!H15</f>
        <v>7949.6397024779972</v>
      </c>
    </row>
    <row r="321" spans="1:10" x14ac:dyDescent="0.3">
      <c r="A321" t="s">
        <v>50</v>
      </c>
      <c r="B321" t="s">
        <v>63</v>
      </c>
      <c r="C321" t="s">
        <v>89</v>
      </c>
      <c r="D321" s="2">
        <f>'[4]Household Population by Age'!B16</f>
        <v>8087.6459112307311</v>
      </c>
      <c r="E321" s="2">
        <f>'[4]Household Population by Age'!C16</f>
        <v>8338.769247659613</v>
      </c>
      <c r="F321" s="2">
        <f>'[4]Household Population by Age'!D16</f>
        <v>8345.9653423688615</v>
      </c>
      <c r="G321" s="2">
        <f>'[4]Household Population by Age'!E16</f>
        <v>8414.617240112555</v>
      </c>
      <c r="H321" s="2">
        <f>'[4]Household Population by Age'!F16</f>
        <v>8520.4134637264324</v>
      </c>
      <c r="I321" s="2">
        <f>'[4]Household Population by Age'!G16</f>
        <v>8594.51626035548</v>
      </c>
      <c r="J321" s="2">
        <f>'[4]Household Population by Age'!H16</f>
        <v>8700.431226387831</v>
      </c>
    </row>
    <row r="322" spans="1:10" x14ac:dyDescent="0.3">
      <c r="A322" t="s">
        <v>23</v>
      </c>
      <c r="B322" t="s">
        <v>63</v>
      </c>
      <c r="C322" t="s">
        <v>89</v>
      </c>
      <c r="D322" s="2">
        <f>'[4]Household Population by Age'!B17</f>
        <v>12285.485191957145</v>
      </c>
      <c r="E322" s="2">
        <f>'[4]Household Population by Age'!C17</f>
        <v>12592.193021688647</v>
      </c>
      <c r="F322" s="2">
        <f>'[4]Household Population by Age'!D17</f>
        <v>12939.834562919956</v>
      </c>
      <c r="G322" s="2">
        <f>'[4]Household Population by Age'!E17</f>
        <v>13361.403106266223</v>
      </c>
      <c r="H322" s="2">
        <f>'[4]Household Population by Age'!F17</f>
        <v>13680.212626463008</v>
      </c>
      <c r="I322" s="2">
        <f>'[4]Household Population by Age'!G17</f>
        <v>14264.295430841039</v>
      </c>
      <c r="J322" s="2">
        <f>'[4]Household Population by Age'!H17</f>
        <v>14942.179947283839</v>
      </c>
    </row>
    <row r="323" spans="1:10" x14ac:dyDescent="0.3">
      <c r="A323" t="s">
        <v>51</v>
      </c>
      <c r="B323" t="s">
        <v>63</v>
      </c>
      <c r="C323" t="s">
        <v>89</v>
      </c>
      <c r="D323" s="2">
        <f>'[4]Household Population by Age'!B18</f>
        <v>15982.42728784206</v>
      </c>
      <c r="E323" s="2">
        <f>'[4]Household Population by Age'!C18</f>
        <v>15600.694818639011</v>
      </c>
      <c r="F323" s="2">
        <f>'[4]Household Population by Age'!D18</f>
        <v>15156.855419692933</v>
      </c>
      <c r="G323" s="2">
        <f>'[4]Household Population by Age'!E18</f>
        <v>14958.689243558001</v>
      </c>
      <c r="H323" s="2">
        <f>'[4]Household Population by Age'!F18</f>
        <v>14620.23015868631</v>
      </c>
      <c r="I323" s="2">
        <f>'[4]Household Population by Age'!G18</f>
        <v>14644.736102732644</v>
      </c>
      <c r="J323" s="2">
        <f>'[4]Household Population by Age'!H18</f>
        <v>14716.499000366382</v>
      </c>
    </row>
    <row r="324" spans="1:10" x14ac:dyDescent="0.3">
      <c r="A324" t="s">
        <v>24</v>
      </c>
      <c r="B324" t="s">
        <v>63</v>
      </c>
      <c r="C324" t="s">
        <v>89</v>
      </c>
      <c r="D324" s="2">
        <f>'[4]Household Population by Age'!B19</f>
        <v>15030.25030115564</v>
      </c>
      <c r="E324" s="2">
        <f>'[4]Household Population by Age'!C19</f>
        <v>16039.347970209572</v>
      </c>
      <c r="F324" s="2">
        <f>'[4]Household Population by Age'!D19</f>
        <v>17946.235207177706</v>
      </c>
      <c r="G324" s="2">
        <f>'[4]Household Population by Age'!E19</f>
        <v>19936.599887105269</v>
      </c>
      <c r="H324" s="2">
        <f>'[4]Household Population by Age'!F19</f>
        <v>21575.900115514207</v>
      </c>
      <c r="I324" s="2">
        <f>'[4]Household Population by Age'!G19</f>
        <v>22584.108671687452</v>
      </c>
      <c r="J324" s="2">
        <f>'[4]Household Population by Age'!H19</f>
        <v>23471.020220866241</v>
      </c>
    </row>
    <row r="325" spans="1:10" x14ac:dyDescent="0.3">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3">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3">
      <c r="A327" t="s">
        <v>18</v>
      </c>
      <c r="B327" t="s">
        <v>63</v>
      </c>
      <c r="C327" t="s">
        <v>90</v>
      </c>
      <c r="D327" s="2">
        <f>'[4]Household Population by Age'!B25</f>
        <v>126668.52601590233</v>
      </c>
      <c r="E327" s="2">
        <f>'[4]Household Population by Age'!C25</f>
        <v>145319.24423133634</v>
      </c>
      <c r="F327" s="2">
        <f>'[4]Household Population by Age'!D25</f>
        <v>160653.84384566068</v>
      </c>
      <c r="G327" s="2">
        <f>'[4]Household Population by Age'!E25</f>
        <v>177640.12319771305</v>
      </c>
      <c r="H327" s="2">
        <f>'[4]Household Population by Age'!F25</f>
        <v>192780.78183376222</v>
      </c>
      <c r="I327" s="2">
        <f>'[4]Household Population by Age'!G25</f>
        <v>208387.53274779941</v>
      </c>
      <c r="J327" s="2">
        <f>'[4]Household Population by Age'!H25</f>
        <v>224128.50231069018</v>
      </c>
    </row>
    <row r="328" spans="1:10" x14ac:dyDescent="0.3">
      <c r="A328" t="s">
        <v>19</v>
      </c>
      <c r="B328" t="s">
        <v>63</v>
      </c>
      <c r="C328" t="s">
        <v>90</v>
      </c>
      <c r="D328" s="2">
        <f>'[4]Household Population by Age'!B26</f>
        <v>93009.150585371244</v>
      </c>
      <c r="E328" s="2">
        <f>'[4]Household Population by Age'!C26</f>
        <v>97008.335500189089</v>
      </c>
      <c r="F328" s="2">
        <f>'[4]Household Population by Age'!D26</f>
        <v>100239.14077227309</v>
      </c>
      <c r="G328" s="2">
        <f>'[4]Household Population by Age'!E26</f>
        <v>105773.37830183574</v>
      </c>
      <c r="H328" s="2">
        <f>'[4]Household Population by Age'!F26</f>
        <v>111882.18698681684</v>
      </c>
      <c r="I328" s="2">
        <f>'[4]Household Population by Age'!G26</f>
        <v>118235.30629321747</v>
      </c>
      <c r="J328" s="2">
        <f>'[4]Household Population by Age'!H26</f>
        <v>124206.67234646523</v>
      </c>
    </row>
    <row r="329" spans="1:10" x14ac:dyDescent="0.3">
      <c r="A329" t="s">
        <v>44</v>
      </c>
      <c r="B329" t="s">
        <v>63</v>
      </c>
      <c r="C329" t="s">
        <v>90</v>
      </c>
      <c r="D329" s="2">
        <f>'[4]Household Population by Age'!B27</f>
        <v>14679.627677665423</v>
      </c>
      <c r="E329" s="2">
        <f>'[4]Household Population by Age'!C27</f>
        <v>14695.060927796196</v>
      </c>
      <c r="F329" s="2">
        <f>'[4]Household Population by Age'!D27</f>
        <v>14967.915069246417</v>
      </c>
      <c r="G329" s="2">
        <f>'[4]Household Population by Age'!E27</f>
        <v>15299.343119206827</v>
      </c>
      <c r="H329" s="2">
        <f>'[4]Household Population by Age'!F27</f>
        <v>15600.57881490306</v>
      </c>
      <c r="I329" s="2">
        <f>'[4]Household Population by Age'!G27</f>
        <v>15984.655285276149</v>
      </c>
      <c r="J329" s="2">
        <f>'[4]Household Population by Age'!H27</f>
        <v>16395.186875287673</v>
      </c>
    </row>
    <row r="330" spans="1:10" x14ac:dyDescent="0.3">
      <c r="A330" t="s">
        <v>20</v>
      </c>
      <c r="B330" t="s">
        <v>63</v>
      </c>
      <c r="C330" t="s">
        <v>90</v>
      </c>
      <c r="D330" s="2">
        <f>'[4]Household Population by Age'!B28</f>
        <v>843951.02510575601</v>
      </c>
      <c r="E330" s="2">
        <f>'[4]Household Population by Age'!C28</f>
        <v>868734.09728373564</v>
      </c>
      <c r="F330" s="2">
        <f>'[4]Household Population by Age'!D28</f>
        <v>894781.84436772089</v>
      </c>
      <c r="G330" s="2">
        <f>'[4]Household Population by Age'!E28</f>
        <v>942968.28458394075</v>
      </c>
      <c r="H330" s="2">
        <f>'[4]Household Population by Age'!F28</f>
        <v>982849.43629214843</v>
      </c>
      <c r="I330" s="2">
        <f>'[4]Household Population by Age'!G28</f>
        <v>1019973.1046496063</v>
      </c>
      <c r="J330" s="2">
        <f>'[4]Household Population by Age'!H28</f>
        <v>1048743.24498198</v>
      </c>
    </row>
    <row r="331" spans="1:10" x14ac:dyDescent="0.3">
      <c r="A331" t="s">
        <v>45</v>
      </c>
      <c r="B331" t="s">
        <v>63</v>
      </c>
      <c r="C331" t="s">
        <v>90</v>
      </c>
      <c r="D331" s="2">
        <f>'[4]Household Population by Age'!B29</f>
        <v>14145.806948650843</v>
      </c>
      <c r="E331" s="2">
        <f>'[4]Household Population by Age'!C29</f>
        <v>13599.747643817633</v>
      </c>
      <c r="F331" s="2">
        <f>'[4]Household Population by Age'!D29</f>
        <v>12986.346796202131</v>
      </c>
      <c r="G331" s="2">
        <f>'[4]Household Population by Age'!E29</f>
        <v>12769.05592717024</v>
      </c>
      <c r="H331" s="2">
        <f>'[4]Household Population by Age'!F29</f>
        <v>12631.527801949182</v>
      </c>
      <c r="I331" s="2">
        <f>'[4]Household Population by Age'!G29</f>
        <v>12670.691804210957</v>
      </c>
      <c r="J331" s="2">
        <f>'[4]Household Population by Age'!H29</f>
        <v>12736.209855250527</v>
      </c>
    </row>
    <row r="332" spans="1:10" x14ac:dyDescent="0.3">
      <c r="A332" t="s">
        <v>46</v>
      </c>
      <c r="B332" t="s">
        <v>63</v>
      </c>
      <c r="C332" t="s">
        <v>90</v>
      </c>
      <c r="D332" s="2">
        <f>'[4]Household Population by Age'!B30</f>
        <v>33642.314336779753</v>
      </c>
      <c r="E332" s="2">
        <f>'[4]Household Population by Age'!C30</f>
        <v>33084.544455171825</v>
      </c>
      <c r="F332" s="2">
        <f>'[4]Household Population by Age'!D30</f>
        <v>32947.024123720752</v>
      </c>
      <c r="G332" s="2">
        <f>'[4]Household Population by Age'!E30</f>
        <v>33588.691467978351</v>
      </c>
      <c r="H332" s="2">
        <f>'[4]Household Population by Age'!F30</f>
        <v>34494.498938120814</v>
      </c>
      <c r="I332" s="2">
        <f>'[4]Household Population by Age'!G30</f>
        <v>35497.843992272275</v>
      </c>
      <c r="J332" s="2">
        <f>'[4]Household Population by Age'!H30</f>
        <v>36398.448857707903</v>
      </c>
    </row>
    <row r="333" spans="1:10" x14ac:dyDescent="0.3">
      <c r="A333" t="s">
        <v>21</v>
      </c>
      <c r="B333" t="s">
        <v>63</v>
      </c>
      <c r="C333" t="s">
        <v>90</v>
      </c>
      <c r="D333" s="2">
        <f>'[4]Household Population by Age'!B31</f>
        <v>104397.20986889364</v>
      </c>
      <c r="E333" s="2">
        <f>'[4]Household Population by Age'!C31</f>
        <v>108968.46297250778</v>
      </c>
      <c r="F333" s="2">
        <f>'[4]Household Population by Age'!D31</f>
        <v>112430.62358908379</v>
      </c>
      <c r="G333" s="2">
        <f>'[4]Household Population by Age'!E31</f>
        <v>121499.2943652876</v>
      </c>
      <c r="H333" s="2">
        <f>'[4]Household Population by Age'!F31</f>
        <v>127971.10695106082</v>
      </c>
      <c r="I333" s="2">
        <f>'[4]Household Population by Age'!G31</f>
        <v>133449.07246531182</v>
      </c>
      <c r="J333" s="2">
        <f>'[4]Household Population by Age'!H31</f>
        <v>137874.63781984075</v>
      </c>
    </row>
    <row r="334" spans="1:10" x14ac:dyDescent="0.3">
      <c r="A334" t="s">
        <v>47</v>
      </c>
      <c r="B334" t="s">
        <v>63</v>
      </c>
      <c r="C334" t="s">
        <v>90</v>
      </c>
      <c r="D334" s="2">
        <f>'[4]Household Population by Age'!B32</f>
        <v>24644.238165308059</v>
      </c>
      <c r="E334" s="2">
        <f>'[4]Household Population by Age'!C32</f>
        <v>23854.491733831775</v>
      </c>
      <c r="F334" s="2">
        <f>'[4]Household Population by Age'!D32</f>
        <v>23461.020485443973</v>
      </c>
      <c r="G334" s="2">
        <f>'[4]Household Population by Age'!E32</f>
        <v>23521.099277703652</v>
      </c>
      <c r="H334" s="2">
        <f>'[4]Household Population by Age'!F32</f>
        <v>23777.728849059517</v>
      </c>
      <c r="I334" s="2">
        <f>'[4]Household Population by Age'!G32</f>
        <v>24226.515076389842</v>
      </c>
      <c r="J334" s="2">
        <f>'[4]Household Population by Age'!H32</f>
        <v>24757.647651174069</v>
      </c>
    </row>
    <row r="335" spans="1:10" x14ac:dyDescent="0.3">
      <c r="A335" t="s">
        <v>22</v>
      </c>
      <c r="B335" t="s">
        <v>63</v>
      </c>
      <c r="C335" t="s">
        <v>90</v>
      </c>
      <c r="D335" s="2">
        <f>'[4]Household Population by Age'!B33</f>
        <v>25500.531208140688</v>
      </c>
      <c r="E335" s="2">
        <f>'[4]Household Population by Age'!C33</f>
        <v>26622.860440931669</v>
      </c>
      <c r="F335" s="2">
        <f>'[4]Household Population by Age'!D33</f>
        <v>27479.178997949472</v>
      </c>
      <c r="G335" s="2">
        <f>'[4]Household Population by Age'!E33</f>
        <v>28752.469004496848</v>
      </c>
      <c r="H335" s="2">
        <f>'[4]Household Population by Age'!F33</f>
        <v>30257.324877176972</v>
      </c>
      <c r="I335" s="2">
        <f>'[4]Household Population by Age'!G33</f>
        <v>31774.778106326507</v>
      </c>
      <c r="J335" s="2">
        <f>'[4]Household Population by Age'!H33</f>
        <v>33212.833600953512</v>
      </c>
    </row>
    <row r="336" spans="1:10" x14ac:dyDescent="0.3">
      <c r="A336" t="s">
        <v>48</v>
      </c>
      <c r="B336" t="s">
        <v>63</v>
      </c>
      <c r="C336" t="s">
        <v>90</v>
      </c>
      <c r="D336" s="2">
        <f>'[4]Household Population by Age'!B34</f>
        <v>37112.487022203961</v>
      </c>
      <c r="E336" s="2">
        <f>'[4]Household Population by Age'!C34</f>
        <v>35839.638704776204</v>
      </c>
      <c r="F336" s="2">
        <f>'[4]Household Population by Age'!D34</f>
        <v>35177.507007892811</v>
      </c>
      <c r="G336" s="2">
        <f>'[4]Household Population by Age'!E34</f>
        <v>35756.962090151646</v>
      </c>
      <c r="H336" s="2">
        <f>'[4]Household Population by Age'!F34</f>
        <v>36420.84514132909</v>
      </c>
      <c r="I336" s="2">
        <f>'[4]Household Population by Age'!G34</f>
        <v>36727.52146634346</v>
      </c>
      <c r="J336" s="2">
        <f>'[4]Household Population by Age'!H34</f>
        <v>36724.715217497484</v>
      </c>
    </row>
    <row r="337" spans="1:10" x14ac:dyDescent="0.3">
      <c r="A337" t="s">
        <v>49</v>
      </c>
      <c r="B337" t="s">
        <v>63</v>
      </c>
      <c r="C337" t="s">
        <v>90</v>
      </c>
      <c r="D337" s="2">
        <f>'[4]Household Population by Age'!B35</f>
        <v>18507.092657152058</v>
      </c>
      <c r="E337" s="2">
        <f>'[4]Household Population by Age'!C35</f>
        <v>18897.973165368152</v>
      </c>
      <c r="F337" s="2">
        <f>'[4]Household Population by Age'!D35</f>
        <v>19081.608875306643</v>
      </c>
      <c r="G337" s="2">
        <f>'[4]Household Population by Age'!E35</f>
        <v>19633.623169395712</v>
      </c>
      <c r="H337" s="2">
        <f>'[4]Household Population by Age'!F35</f>
        <v>20177.664388449684</v>
      </c>
      <c r="I337" s="2">
        <f>'[4]Household Population by Age'!G35</f>
        <v>20844.328332197012</v>
      </c>
      <c r="J337" s="2">
        <f>'[4]Household Population by Age'!H35</f>
        <v>21657.810649045547</v>
      </c>
    </row>
    <row r="338" spans="1:10" x14ac:dyDescent="0.3">
      <c r="A338" t="s">
        <v>50</v>
      </c>
      <c r="B338" t="s">
        <v>63</v>
      </c>
      <c r="C338" t="s">
        <v>90</v>
      </c>
      <c r="D338" s="2">
        <f>'[4]Household Population by Age'!B36</f>
        <v>18796.122251132932</v>
      </c>
      <c r="E338" s="2">
        <f>'[4]Household Population by Age'!C36</f>
        <v>18876.442319527931</v>
      </c>
      <c r="F338" s="2">
        <f>'[4]Household Population by Age'!D36</f>
        <v>18704.19249324215</v>
      </c>
      <c r="G338" s="2">
        <f>'[4]Household Population by Age'!E36</f>
        <v>18867.553537854961</v>
      </c>
      <c r="H338" s="2">
        <f>'[4]Household Population by Age'!F36</f>
        <v>19252.468218630245</v>
      </c>
      <c r="I338" s="2">
        <f>'[4]Household Population by Age'!G36</f>
        <v>19693.724903156111</v>
      </c>
      <c r="J338" s="2">
        <f>'[4]Household Population by Age'!H36</f>
        <v>20069.935994145213</v>
      </c>
    </row>
    <row r="339" spans="1:10" x14ac:dyDescent="0.3">
      <c r="A339" t="s">
        <v>23</v>
      </c>
      <c r="B339" t="s">
        <v>63</v>
      </c>
      <c r="C339" t="s">
        <v>90</v>
      </c>
      <c r="D339" s="2">
        <f>'[4]Household Population by Age'!B37</f>
        <v>34127.083732997664</v>
      </c>
      <c r="E339" s="2">
        <f>'[4]Household Population by Age'!C37</f>
        <v>36087.019469849693</v>
      </c>
      <c r="F339" s="2">
        <f>'[4]Household Population by Age'!D37</f>
        <v>37873.559998996156</v>
      </c>
      <c r="G339" s="2">
        <f>'[4]Household Population by Age'!E37</f>
        <v>40041.065411847834</v>
      </c>
      <c r="H339" s="2">
        <f>'[4]Household Population by Age'!F37</f>
        <v>42386.924474857857</v>
      </c>
      <c r="I339" s="2">
        <f>'[4]Household Population by Age'!G37</f>
        <v>44520.236139990819</v>
      </c>
      <c r="J339" s="2">
        <f>'[4]Household Population by Age'!H37</f>
        <v>46676.815128030124</v>
      </c>
    </row>
    <row r="340" spans="1:10" x14ac:dyDescent="0.3">
      <c r="A340" t="s">
        <v>51</v>
      </c>
      <c r="B340" t="s">
        <v>63</v>
      </c>
      <c r="C340" t="s">
        <v>90</v>
      </c>
      <c r="D340" s="2">
        <f>'[4]Household Population by Age'!B38</f>
        <v>45085.437093210021</v>
      </c>
      <c r="E340" s="2">
        <f>'[4]Household Population by Age'!C38</f>
        <v>43424.388239464359</v>
      </c>
      <c r="F340" s="2">
        <f>'[4]Household Population by Age'!D38</f>
        <v>42432.636167965698</v>
      </c>
      <c r="G340" s="2">
        <f>'[4]Household Population by Age'!E38</f>
        <v>42009.065475272546</v>
      </c>
      <c r="H340" s="2">
        <f>'[4]Household Population by Age'!F38</f>
        <v>42208.237658149024</v>
      </c>
      <c r="I340" s="2">
        <f>'[4]Household Population by Age'!G38</f>
        <v>42159.018385636904</v>
      </c>
      <c r="J340" s="2">
        <f>'[4]Household Population by Age'!H38</f>
        <v>42203.235961160455</v>
      </c>
    </row>
    <row r="341" spans="1:10" x14ac:dyDescent="0.3">
      <c r="A341" t="s">
        <v>24</v>
      </c>
      <c r="B341" t="s">
        <v>63</v>
      </c>
      <c r="C341" t="s">
        <v>90</v>
      </c>
      <c r="D341" s="2">
        <f>'[4]Household Population by Age'!B39</f>
        <v>37138.805779216229</v>
      </c>
      <c r="E341" s="2">
        <f>'[4]Household Population by Age'!C39</f>
        <v>38390.006823047195</v>
      </c>
      <c r="F341" s="2">
        <f>'[4]Household Population by Age'!D39</f>
        <v>40842.569735005018</v>
      </c>
      <c r="G341" s="2">
        <f>'[4]Household Population by Age'!E39</f>
        <v>44016.469957051275</v>
      </c>
      <c r="H341" s="2">
        <f>'[4]Household Population by Age'!F39</f>
        <v>47677.587827589668</v>
      </c>
      <c r="I341" s="2">
        <f>'[4]Household Population by Age'!G39</f>
        <v>51941.969114675332</v>
      </c>
      <c r="J341" s="2">
        <f>'[4]Household Population by Age'!H39</f>
        <v>56178.463955111933</v>
      </c>
    </row>
    <row r="342" spans="1:10" x14ac:dyDescent="0.3">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3">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3">
      <c r="A344" t="s">
        <v>18</v>
      </c>
      <c r="B344" t="s">
        <v>63</v>
      </c>
      <c r="C344" t="s">
        <v>91</v>
      </c>
      <c r="D344" s="2">
        <f>'[4]Household Population by Age'!B45</f>
        <v>31188.890257265142</v>
      </c>
      <c r="E344" s="2">
        <f>'[4]Household Population by Age'!C45</f>
        <v>41073.544301009242</v>
      </c>
      <c r="F344" s="2">
        <f>'[4]Household Population by Age'!D45</f>
        <v>51504.759308558663</v>
      </c>
      <c r="G344" s="2">
        <f>'[4]Household Population by Age'!E45</f>
        <v>61937.721092614869</v>
      </c>
      <c r="H344" s="2">
        <f>'[4]Household Population by Age'!F45</f>
        <v>70674.244634704635</v>
      </c>
      <c r="I344" s="2">
        <f>'[4]Household Population by Age'!G45</f>
        <v>77730.785417652514</v>
      </c>
      <c r="J344" s="2">
        <f>'[4]Household Population by Age'!H45</f>
        <v>85039.98490905753</v>
      </c>
    </row>
    <row r="345" spans="1:10" x14ac:dyDescent="0.3">
      <c r="A345" t="s">
        <v>19</v>
      </c>
      <c r="B345" t="s">
        <v>63</v>
      </c>
      <c r="C345" t="s">
        <v>91</v>
      </c>
      <c r="D345" s="2">
        <f>'[4]Household Population by Age'!B46</f>
        <v>25870.113143279337</v>
      </c>
      <c r="E345" s="2">
        <f>'[4]Household Population by Age'!C46</f>
        <v>29597.686123036088</v>
      </c>
      <c r="F345" s="2">
        <f>'[4]Household Population by Age'!D46</f>
        <v>33063.752901610227</v>
      </c>
      <c r="G345" s="2">
        <f>'[4]Household Population by Age'!E46</f>
        <v>35035.337701610464</v>
      </c>
      <c r="H345" s="2">
        <f>'[4]Household Population by Age'!F46</f>
        <v>35695.855916495333</v>
      </c>
      <c r="I345" s="2">
        <f>'[4]Household Population by Age'!G46</f>
        <v>35758.85127243607</v>
      </c>
      <c r="J345" s="2">
        <f>'[4]Household Population by Age'!H46</f>
        <v>36262.594789356197</v>
      </c>
    </row>
    <row r="346" spans="1:10" x14ac:dyDescent="0.3">
      <c r="A346" t="s">
        <v>44</v>
      </c>
      <c r="B346" t="s">
        <v>63</v>
      </c>
      <c r="C346" t="s">
        <v>91</v>
      </c>
      <c r="D346" s="2">
        <f>'[4]Household Population by Age'!B47</f>
        <v>5025.7534203436089</v>
      </c>
      <c r="E346" s="2">
        <f>'[4]Household Population by Age'!C47</f>
        <v>5477.6053720202281</v>
      </c>
      <c r="F346" s="2">
        <f>'[4]Household Population by Age'!D47</f>
        <v>5903.7671091791899</v>
      </c>
      <c r="G346" s="2">
        <f>'[4]Household Population by Age'!E47</f>
        <v>6088.7867733094508</v>
      </c>
      <c r="H346" s="2">
        <f>'[4]Household Population by Age'!F47</f>
        <v>6134.3258222378954</v>
      </c>
      <c r="I346" s="2">
        <f>'[4]Household Population by Age'!G47</f>
        <v>6084.9989599343799</v>
      </c>
      <c r="J346" s="2">
        <f>'[4]Household Population by Age'!H47</f>
        <v>6045.6847986912835</v>
      </c>
    </row>
    <row r="347" spans="1:10" x14ac:dyDescent="0.3">
      <c r="A347" t="s">
        <v>20</v>
      </c>
      <c r="B347" t="s">
        <v>63</v>
      </c>
      <c r="C347" t="s">
        <v>91</v>
      </c>
      <c r="D347" s="2">
        <f>'[4]Household Population by Age'!B48</f>
        <v>167453.45394164682</v>
      </c>
      <c r="E347" s="2">
        <f>'[4]Household Population by Age'!C48</f>
        <v>193910.46328044147</v>
      </c>
      <c r="F347" s="2">
        <f>'[4]Household Population by Age'!D48</f>
        <v>213628.74244051767</v>
      </c>
      <c r="G347" s="2">
        <f>'[4]Household Population by Age'!E48</f>
        <v>225956.01687368637</v>
      </c>
      <c r="H347" s="2">
        <f>'[4]Household Population by Age'!F48</f>
        <v>229450.56492865359</v>
      </c>
      <c r="I347" s="2">
        <f>'[4]Household Population by Age'!G48</f>
        <v>231103.32249564119</v>
      </c>
      <c r="J347" s="2">
        <f>'[4]Household Population by Age'!H48</f>
        <v>238966.5415706705</v>
      </c>
    </row>
    <row r="348" spans="1:10" x14ac:dyDescent="0.3">
      <c r="A348" t="s">
        <v>45</v>
      </c>
      <c r="B348" t="s">
        <v>63</v>
      </c>
      <c r="C348" t="s">
        <v>91</v>
      </c>
      <c r="D348" s="2">
        <f>'[4]Household Population by Age'!B49</f>
        <v>5268.0272290443136</v>
      </c>
      <c r="E348" s="2">
        <f>'[4]Household Population by Age'!C49</f>
        <v>5840.6466119667039</v>
      </c>
      <c r="F348" s="2">
        <f>'[4]Household Population by Age'!D49</f>
        <v>6275.1961567952985</v>
      </c>
      <c r="G348" s="2">
        <f>'[4]Household Population by Age'!E49</f>
        <v>6432.5646476136571</v>
      </c>
      <c r="H348" s="2">
        <f>'[4]Household Population by Age'!F49</f>
        <v>6409.3183009183094</v>
      </c>
      <c r="I348" s="2">
        <f>'[4]Household Population by Age'!G49</f>
        <v>6215.9814231031341</v>
      </c>
      <c r="J348" s="2">
        <f>'[4]Household Population by Age'!H49</f>
        <v>5977.2033831853487</v>
      </c>
    </row>
    <row r="349" spans="1:10" x14ac:dyDescent="0.3">
      <c r="A349" t="s">
        <v>46</v>
      </c>
      <c r="B349" t="s">
        <v>63</v>
      </c>
      <c r="C349" t="s">
        <v>91</v>
      </c>
      <c r="D349" s="2">
        <f>'[4]Household Population by Age'!B50</f>
        <v>11518.269740320073</v>
      </c>
      <c r="E349" s="2">
        <f>'[4]Household Population by Age'!C50</f>
        <v>13161.189408302933</v>
      </c>
      <c r="F349" s="2">
        <f>'[4]Household Population by Age'!D50</f>
        <v>14210.331721780642</v>
      </c>
      <c r="G349" s="2">
        <f>'[4]Household Population by Age'!E50</f>
        <v>14657.500288361678</v>
      </c>
      <c r="H349" s="2">
        <f>'[4]Household Population by Age'!F50</f>
        <v>14434.076488026163</v>
      </c>
      <c r="I349" s="2">
        <f>'[4]Household Population by Age'!G50</f>
        <v>13974.471910577578</v>
      </c>
      <c r="J349" s="2">
        <f>'[4]Household Population by Age'!H50</f>
        <v>13630.718425949646</v>
      </c>
    </row>
    <row r="350" spans="1:10" x14ac:dyDescent="0.3">
      <c r="A350" t="s">
        <v>21</v>
      </c>
      <c r="B350" t="s">
        <v>63</v>
      </c>
      <c r="C350" t="s">
        <v>91</v>
      </c>
      <c r="D350" s="2">
        <f>'[4]Household Population by Age'!B51</f>
        <v>30394.100466030319</v>
      </c>
      <c r="E350" s="2">
        <f>'[4]Household Population by Age'!C51</f>
        <v>35524.48214747187</v>
      </c>
      <c r="F350" s="2">
        <f>'[4]Household Population by Age'!D51</f>
        <v>39785.479053336938</v>
      </c>
      <c r="G350" s="2">
        <f>'[4]Household Population by Age'!E51</f>
        <v>43360.682849801524</v>
      </c>
      <c r="H350" s="2">
        <f>'[4]Household Population by Age'!F51</f>
        <v>43747.156178680074</v>
      </c>
      <c r="I350" s="2">
        <f>'[4]Household Population by Age'!G51</f>
        <v>42727.741125733693</v>
      </c>
      <c r="J350" s="2">
        <f>'[4]Household Population by Age'!H51</f>
        <v>42758.459905400305</v>
      </c>
    </row>
    <row r="351" spans="1:10" x14ac:dyDescent="0.3">
      <c r="A351" t="s">
        <v>47</v>
      </c>
      <c r="B351" t="s">
        <v>63</v>
      </c>
      <c r="C351" t="s">
        <v>91</v>
      </c>
      <c r="D351" s="2">
        <f>'[4]Household Population by Age'!B52</f>
        <v>8516.8700083837102</v>
      </c>
      <c r="E351" s="2">
        <f>'[4]Household Population by Age'!C52</f>
        <v>9472.448905756557</v>
      </c>
      <c r="F351" s="2">
        <f>'[4]Household Population by Age'!D52</f>
        <v>10309.258544901997</v>
      </c>
      <c r="G351" s="2">
        <f>'[4]Household Population by Age'!E52</f>
        <v>10586.632018666973</v>
      </c>
      <c r="H351" s="2">
        <f>'[4]Household Population by Age'!F52</f>
        <v>10633.925894637325</v>
      </c>
      <c r="I351" s="2">
        <f>'[4]Household Population by Age'!G52</f>
        <v>10539.978521362662</v>
      </c>
      <c r="J351" s="2">
        <f>'[4]Household Population by Age'!H52</f>
        <v>10391.986514146503</v>
      </c>
    </row>
    <row r="352" spans="1:10" x14ac:dyDescent="0.3">
      <c r="A352" t="s">
        <v>22</v>
      </c>
      <c r="B352" t="s">
        <v>63</v>
      </c>
      <c r="C352" t="s">
        <v>91</v>
      </c>
      <c r="D352" s="2">
        <f>'[4]Household Population by Age'!B53</f>
        <v>6835.9000201979416</v>
      </c>
      <c r="E352" s="2">
        <f>'[4]Household Population by Age'!C53</f>
        <v>8236.1719782820874</v>
      </c>
      <c r="F352" s="2">
        <f>'[4]Household Population by Age'!D53</f>
        <v>9621.2623535657385</v>
      </c>
      <c r="G352" s="2">
        <f>'[4]Household Population by Age'!E53</f>
        <v>10631.841983756542</v>
      </c>
      <c r="H352" s="2">
        <f>'[4]Household Population by Age'!F53</f>
        <v>11328.997919047815</v>
      </c>
      <c r="I352" s="2">
        <f>'[4]Household Population by Age'!G53</f>
        <v>11615.503680534097</v>
      </c>
      <c r="J352" s="2">
        <f>'[4]Household Population by Age'!H53</f>
        <v>11942.17200349176</v>
      </c>
    </row>
    <row r="353" spans="1:10" x14ac:dyDescent="0.3">
      <c r="A353" t="s">
        <v>48</v>
      </c>
      <c r="B353" t="s">
        <v>63</v>
      </c>
      <c r="C353" t="s">
        <v>91</v>
      </c>
      <c r="D353" s="2">
        <f>'[4]Household Population by Age'!B54</f>
        <v>11847.382721382288</v>
      </c>
      <c r="E353" s="2">
        <f>'[4]Household Population by Age'!C54</f>
        <v>13065.107088143615</v>
      </c>
      <c r="F353" s="2">
        <f>'[4]Household Population by Age'!D54</f>
        <v>13722.658217785562</v>
      </c>
      <c r="G353" s="2">
        <f>'[4]Household Population by Age'!E54</f>
        <v>13691.281084917342</v>
      </c>
      <c r="H353" s="2">
        <f>'[4]Household Population by Age'!F54</f>
        <v>13163.129618292447</v>
      </c>
      <c r="I353" s="2">
        <f>'[4]Household Population by Age'!G54</f>
        <v>12424.390903522148</v>
      </c>
      <c r="J353" s="2">
        <f>'[4]Household Population by Age'!H54</f>
        <v>11872.081704325754</v>
      </c>
    </row>
    <row r="354" spans="1:10" x14ac:dyDescent="0.3">
      <c r="A354" t="s">
        <v>49</v>
      </c>
      <c r="B354" t="s">
        <v>63</v>
      </c>
      <c r="C354" t="s">
        <v>91</v>
      </c>
      <c r="D354" s="2">
        <f>'[4]Household Population by Age'!B55</f>
        <v>6150.5852701138065</v>
      </c>
      <c r="E354" s="2">
        <f>'[4]Household Population by Age'!C55</f>
        <v>7455.1424754462578</v>
      </c>
      <c r="F354" s="2">
        <f>'[4]Household Population by Age'!D55</f>
        <v>8446.8906780586403</v>
      </c>
      <c r="G354" s="2">
        <f>'[4]Household Population by Age'!E55</f>
        <v>9230.6732808226843</v>
      </c>
      <c r="H354" s="2">
        <f>'[4]Household Population by Age'!F55</f>
        <v>9721.5932169997359</v>
      </c>
      <c r="I354" s="2">
        <f>'[4]Household Population by Age'!G55</f>
        <v>9969.9429885485388</v>
      </c>
      <c r="J354" s="2">
        <f>'[4]Household Population by Age'!H55</f>
        <v>10150.549648476455</v>
      </c>
    </row>
    <row r="355" spans="1:10" x14ac:dyDescent="0.3">
      <c r="A355" t="s">
        <v>50</v>
      </c>
      <c r="B355" t="s">
        <v>63</v>
      </c>
      <c r="C355" t="s">
        <v>91</v>
      </c>
      <c r="D355" s="2">
        <f>'[4]Household Population by Age'!B56</f>
        <v>5895.2318376363382</v>
      </c>
      <c r="E355" s="2">
        <f>'[4]Household Population by Age'!C56</f>
        <v>7014.7884328124501</v>
      </c>
      <c r="F355" s="2">
        <f>'[4]Household Population by Age'!D56</f>
        <v>7735.8421643889806</v>
      </c>
      <c r="G355" s="2">
        <f>'[4]Household Population by Age'!E56</f>
        <v>8219.8292220324747</v>
      </c>
      <c r="H355" s="2">
        <f>'[4]Household Population by Age'!F56</f>
        <v>8260.118317643306</v>
      </c>
      <c r="I355" s="2">
        <f>'[4]Household Population by Age'!G56</f>
        <v>8184.7588364884014</v>
      </c>
      <c r="J355" s="2">
        <f>'[4]Household Population by Age'!H56</f>
        <v>8142.6327794669614</v>
      </c>
    </row>
    <row r="356" spans="1:10" x14ac:dyDescent="0.3">
      <c r="A356" t="s">
        <v>23</v>
      </c>
      <c r="B356" t="s">
        <v>63</v>
      </c>
      <c r="C356" t="s">
        <v>91</v>
      </c>
      <c r="D356" s="2">
        <f>'[4]Household Population by Age'!B57</f>
        <v>9301.4310750451768</v>
      </c>
      <c r="E356" s="2">
        <f>'[4]Household Population by Age'!C57</f>
        <v>10845.787508461657</v>
      </c>
      <c r="F356" s="2">
        <f>'[4]Household Population by Age'!D57</f>
        <v>12241.605438083901</v>
      </c>
      <c r="G356" s="2">
        <f>'[4]Household Population by Age'!E57</f>
        <v>13471.531481885955</v>
      </c>
      <c r="H356" s="2">
        <f>'[4]Household Population by Age'!F57</f>
        <v>14297.862898679134</v>
      </c>
      <c r="I356" s="2">
        <f>'[4]Household Population by Age'!G57</f>
        <v>14903.468429168141</v>
      </c>
      <c r="J356" s="2">
        <f>'[4]Household Population by Age'!H57</f>
        <v>15390.004924686025</v>
      </c>
    </row>
    <row r="357" spans="1:10" x14ac:dyDescent="0.3">
      <c r="A357" t="s">
        <v>51</v>
      </c>
      <c r="B357" t="s">
        <v>63</v>
      </c>
      <c r="C357" t="s">
        <v>91</v>
      </c>
      <c r="D357" s="2">
        <f>'[4]Household Population by Age'!B58</f>
        <v>13322.135618947919</v>
      </c>
      <c r="E357" s="2">
        <f>'[4]Household Population by Age'!C58</f>
        <v>14863.916941896634</v>
      </c>
      <c r="F357" s="2">
        <f>'[4]Household Population by Age'!D58</f>
        <v>15915.508412341351</v>
      </c>
      <c r="G357" s="2">
        <f>'[4]Household Population by Age'!E58</f>
        <v>16210.245281169424</v>
      </c>
      <c r="H357" s="2">
        <f>'[4]Household Population by Age'!F58</f>
        <v>15953.532183164683</v>
      </c>
      <c r="I357" s="2">
        <f>'[4]Household Population by Age'!G58</f>
        <v>15539.245511630452</v>
      </c>
      <c r="J357" s="2">
        <f>'[4]Household Population by Age'!H58</f>
        <v>14985.265038473161</v>
      </c>
    </row>
    <row r="358" spans="1:10" x14ac:dyDescent="0.3">
      <c r="A358" t="s">
        <v>24</v>
      </c>
      <c r="B358" t="s">
        <v>63</v>
      </c>
      <c r="C358" t="s">
        <v>91</v>
      </c>
      <c r="D358" s="2">
        <f>'[4]Household Population by Age'!B59</f>
        <v>7944.943919628131</v>
      </c>
      <c r="E358" s="2">
        <f>'[4]Household Population by Age'!C59</f>
        <v>9305.645206743231</v>
      </c>
      <c r="F358" s="2">
        <f>'[4]Household Population by Age'!D59</f>
        <v>11038.195057817276</v>
      </c>
      <c r="G358" s="2">
        <f>'[4]Household Population by Age'!E59</f>
        <v>12295.930155843414</v>
      </c>
      <c r="H358" s="2">
        <f>'[4]Household Population by Age'!F59</f>
        <v>13041.512056896092</v>
      </c>
      <c r="I358" s="2">
        <f>'[4]Household Population by Age'!G59</f>
        <v>13626.922213637232</v>
      </c>
      <c r="J358" s="2">
        <f>'[4]Household Population by Age'!H59</f>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110</v>
      </c>
      <c r="B11" t="s">
        <v>146</v>
      </c>
    </row>
    <row r="12" spans="1:2" x14ac:dyDescent="0.3">
      <c r="A12" t="s">
        <v>111</v>
      </c>
      <c r="B12" t="s">
        <v>147</v>
      </c>
    </row>
    <row r="13" spans="1:2" x14ac:dyDescent="0.3">
      <c r="A13" t="s">
        <v>16</v>
      </c>
      <c r="B13" t="s">
        <v>36</v>
      </c>
    </row>
    <row r="14" spans="1:2" x14ac:dyDescent="0.3">
      <c r="A14" t="s">
        <v>7</v>
      </c>
      <c r="B14" t="s">
        <v>37</v>
      </c>
    </row>
    <row r="15" spans="1:2" x14ac:dyDescent="0.3">
      <c r="A15" t="s">
        <v>8</v>
      </c>
      <c r="B15" t="s">
        <v>38</v>
      </c>
    </row>
    <row r="16" spans="1:2" x14ac:dyDescent="0.3">
      <c r="A16" t="s">
        <v>9</v>
      </c>
      <c r="B16" t="s">
        <v>39</v>
      </c>
    </row>
    <row r="17" spans="1:2" x14ac:dyDescent="0.3">
      <c r="A17" t="s">
        <v>17</v>
      </c>
      <c r="B17" t="s">
        <v>40</v>
      </c>
    </row>
    <row r="19" spans="1:2" x14ac:dyDescent="0.3">
      <c r="A19" t="s">
        <v>97</v>
      </c>
      <c r="B19" t="s">
        <v>136</v>
      </c>
    </row>
    <row r="20" spans="1:2" x14ac:dyDescent="0.3">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heetViews>
  <sheetFormatPr defaultRowHeight="14.4" x14ac:dyDescent="0.3"/>
  <cols>
    <col min="2" max="2" width="19.6640625" bestFit="1" customWidth="1"/>
  </cols>
  <sheetData>
    <row r="1" spans="1:14" x14ac:dyDescent="0.3">
      <c r="A1" t="s">
        <v>125</v>
      </c>
      <c r="B1" t="s">
        <v>25</v>
      </c>
      <c r="C1">
        <v>1980</v>
      </c>
      <c r="D1">
        <v>1990</v>
      </c>
      <c r="E1">
        <v>2000</v>
      </c>
      <c r="F1">
        <v>2010</v>
      </c>
      <c r="G1">
        <v>2020</v>
      </c>
      <c r="H1">
        <v>2021</v>
      </c>
      <c r="I1">
        <v>2025</v>
      </c>
      <c r="J1">
        <v>2030</v>
      </c>
      <c r="K1">
        <v>2035</v>
      </c>
      <c r="L1">
        <v>2040</v>
      </c>
      <c r="M1">
        <v>2045</v>
      </c>
      <c r="N1">
        <v>2050</v>
      </c>
    </row>
    <row r="2" spans="1:14" x14ac:dyDescent="0.3">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3">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3">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3">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3">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3">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3">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3">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3">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3">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3">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3">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3">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3">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3">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3">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3">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3">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3">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3">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3">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3">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3">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3">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3">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3">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3">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3">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3">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3">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3">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3">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3">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3">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3">
      <c r="I66" s="82"/>
      <c r="J66" s="82"/>
      <c r="K66" s="82"/>
      <c r="L66" s="82"/>
      <c r="M66" s="82"/>
      <c r="N66" s="82"/>
    </row>
    <row r="67" spans="1:14" x14ac:dyDescent="0.3">
      <c r="I67" s="82"/>
      <c r="J67" s="82"/>
      <c r="K67" s="82"/>
      <c r="L67" s="82"/>
      <c r="M67" s="82"/>
      <c r="N67" s="82"/>
    </row>
    <row r="68" spans="1:14" x14ac:dyDescent="0.3">
      <c r="I68" s="82"/>
      <c r="J68" s="82"/>
      <c r="K68" s="82"/>
      <c r="L68" s="82"/>
      <c r="M68" s="82"/>
      <c r="N68" s="82"/>
    </row>
    <row r="69" spans="1:14" x14ac:dyDescent="0.3">
      <c r="I69" s="82"/>
      <c r="J69" s="82"/>
      <c r="K69" s="82"/>
      <c r="L69" s="82"/>
      <c r="M69" s="82"/>
      <c r="N69" s="82"/>
    </row>
    <row r="75" spans="1:14" x14ac:dyDescent="0.3">
      <c r="I75" s="82"/>
      <c r="J75" s="82"/>
      <c r="K75" s="82"/>
      <c r="L75" s="82"/>
      <c r="M75" s="82"/>
      <c r="N75" s="82"/>
    </row>
    <row r="76" spans="1:14" x14ac:dyDescent="0.3">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heetViews>
  <sheetFormatPr defaultRowHeight="14.4" x14ac:dyDescent="0.3"/>
  <cols>
    <col min="1" max="1" width="9.6640625" style="84" bestFit="1" customWidth="1"/>
    <col min="2" max="2" width="28.21875" style="84" customWidth="1"/>
    <col min="3" max="3" width="139.109375" style="85" customWidth="1"/>
  </cols>
  <sheetData>
    <row r="1" spans="1:3" s="86" customFormat="1" x14ac:dyDescent="0.3">
      <c r="A1" s="86" t="s">
        <v>138</v>
      </c>
      <c r="B1" s="86" t="s">
        <v>140</v>
      </c>
      <c r="C1" s="87" t="s">
        <v>139</v>
      </c>
    </row>
    <row r="2" spans="1:3" ht="57.6" x14ac:dyDescent="0.3">
      <c r="A2" s="83">
        <v>45044</v>
      </c>
      <c r="B2" s="84" t="s">
        <v>141</v>
      </c>
      <c r="C2" s="85" t="s">
        <v>143</v>
      </c>
    </row>
    <row r="3" spans="1:3" x14ac:dyDescent="0.3">
      <c r="A3" s="83">
        <v>45057</v>
      </c>
      <c r="B3" s="83" t="s">
        <v>141</v>
      </c>
      <c r="C3" s="85" t="s">
        <v>142</v>
      </c>
    </row>
    <row r="4" spans="1:3" ht="28.8" x14ac:dyDescent="0.3">
      <c r="A4" s="83">
        <v>45058</v>
      </c>
      <c r="B4" s="85" t="s">
        <v>145</v>
      </c>
      <c r="C4" s="85" t="s">
        <v>148</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2023-05-12T20:13:28Z</dcterms:modified>
</cp:coreProperties>
</file>