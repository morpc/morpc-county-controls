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orpc1-my.sharepoint.com/personal/aporr_morpc_org/Documents/morpc-county-controls/deliverables/regional_extracts/"/>
    </mc:Choice>
  </mc:AlternateContent>
  <xr:revisionPtr revIDLastSave="0" documentId="11_1EBE8CB8CAEBC80A22F575085782CCAA7A398263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Detailed population forecast" sheetId="1" r:id="rId1"/>
    <sheet name="Population" sheetId="2" r:id="rId2"/>
    <sheet name="Households" sheetId="3" r:id="rId3"/>
    <sheet name="Housing units" sheetId="4" r:id="rId4"/>
    <sheet name="Jobs" sheetId="5" r:id="rId5"/>
    <sheet name="Population by age" sheetId="6" r:id="rId6"/>
  </sheets>
  <calcPr calcId="124519"/>
</workbook>
</file>

<file path=xl/sharedStrings.xml><?xml version="1.0" encoding="utf-8"?>
<sst xmlns="http://schemas.openxmlformats.org/spreadsheetml/2006/main" count="189" uniqueCount="118">
  <si>
    <t>Forecasted population</t>
  </si>
  <si>
    <t>Confidence Limit (lower)</t>
  </si>
  <si>
    <t>Confidence Limit (upper)</t>
  </si>
  <si>
    <t>Year</t>
  </si>
  <si>
    <t>2020</t>
  </si>
  <si>
    <t>2021</t>
  </si>
  <si>
    <t>2025</t>
  </si>
  <si>
    <t>2030</t>
  </si>
  <si>
    <t>2035</t>
  </si>
  <si>
    <t>2040</t>
  </si>
  <si>
    <t>2045</t>
  </si>
  <si>
    <t>2050</t>
  </si>
  <si>
    <t>Population</t>
  </si>
  <si>
    <t>Change</t>
  </si>
  <si>
    <t>Percent change</t>
  </si>
  <si>
    <t>Population label</t>
  </si>
  <si>
    <t>Percent change label</t>
  </si>
  <si>
    <t>Combined label</t>
  </si>
  <si>
    <t>2,251,800</t>
  </si>
  <si>
    <t>2,261,700</t>
  </si>
  <si>
    <t>2,384,500</t>
  </si>
  <si>
    <t>2,505,500</t>
  </si>
  <si>
    <t>2,654,900</t>
  </si>
  <si>
    <t>2,771,900</t>
  </si>
  <si>
    <t>2,872,700</t>
  </si>
  <si>
    <t>2,973,600</t>
  </si>
  <si>
    <t>+0%</t>
  </si>
  <si>
    <t>+6%</t>
  </si>
  <si>
    <t>+11%</t>
  </si>
  <si>
    <t>+18%</t>
  </si>
  <si>
    <t>+23%</t>
  </si>
  <si>
    <t>+28%</t>
  </si>
  <si>
    <t>+32%</t>
  </si>
  <si>
    <t>2,251,800
(+0%)</t>
  </si>
  <si>
    <t>2,261,700
(+0%)</t>
  </si>
  <si>
    <t>2,384,500
(+6%)</t>
  </si>
  <si>
    <t>2,505,500
(+11%)</t>
  </si>
  <si>
    <t>2,654,900
(+18%)</t>
  </si>
  <si>
    <t>2,771,900
(+23%)</t>
  </si>
  <si>
    <t>2,872,700
(+28%)</t>
  </si>
  <si>
    <t>2,973,600
(+32%)</t>
  </si>
  <si>
    <t>Households</t>
  </si>
  <si>
    <t>Households label</t>
  </si>
  <si>
    <t>862,800</t>
  </si>
  <si>
    <t>866,200</t>
  </si>
  <si>
    <t>912,700</t>
  </si>
  <si>
    <t>958,100</t>
  </si>
  <si>
    <t>1,014,300</t>
  </si>
  <si>
    <t>1,058,200</t>
  </si>
  <si>
    <t>1,095,800</t>
  </si>
  <si>
    <t>1,133,500</t>
  </si>
  <si>
    <t>+27%</t>
  </si>
  <si>
    <t>+31%</t>
  </si>
  <si>
    <t>862,800
(+0%)</t>
  </si>
  <si>
    <t>866,200
(+0%)</t>
  </si>
  <si>
    <t>912,700
(+6%)</t>
  </si>
  <si>
    <t>958,100
(+11%)</t>
  </si>
  <si>
    <t>1,014,300
(+18%)</t>
  </si>
  <si>
    <t>1,058,200
(+23%)</t>
  </si>
  <si>
    <t>1,095,800
(+27%)</t>
  </si>
  <si>
    <t>1,133,500
(+31%)</t>
  </si>
  <si>
    <t>Housing units</t>
  </si>
  <si>
    <t>Housing units label</t>
  </si>
  <si>
    <t>934,700</t>
  </si>
  <si>
    <t>938,200</t>
  </si>
  <si>
    <t>988,200</t>
  </si>
  <si>
    <t>1,036,900</t>
  </si>
  <si>
    <t>1,097,300</t>
  </si>
  <si>
    <t>1,144,300</t>
  </si>
  <si>
    <t>1,184,600</t>
  </si>
  <si>
    <t>1,224,900</t>
  </si>
  <si>
    <t>+17%</t>
  </si>
  <si>
    <t>+22%</t>
  </si>
  <si>
    <t>934,700
(+0%)</t>
  </si>
  <si>
    <t>938,200
(+0%)</t>
  </si>
  <si>
    <t>988,200
(+6%)</t>
  </si>
  <si>
    <t>1,036,900
(+11%)</t>
  </si>
  <si>
    <t>1,097,300
(+17%)</t>
  </si>
  <si>
    <t>1,144,300
(+22%)</t>
  </si>
  <si>
    <t>1,184,600
(+27%)</t>
  </si>
  <si>
    <t>1,224,900
(+31%)</t>
  </si>
  <si>
    <t>Total jobs</t>
  </si>
  <si>
    <t>Industrial jobs</t>
  </si>
  <si>
    <t>Office jobs</t>
  </si>
  <si>
    <t>Retail goods jobs</t>
  </si>
  <si>
    <t>Retail services jobs</t>
  </si>
  <si>
    <t>Other jobs</t>
  </si>
  <si>
    <t>Total jobs change</t>
  </si>
  <si>
    <t>Total jobs label</t>
  </si>
  <si>
    <t>1,205,900</t>
  </si>
  <si>
    <t>1,216,800</t>
  </si>
  <si>
    <t>1,260,400</t>
  </si>
  <si>
    <t>1,306,200</t>
  </si>
  <si>
    <t>1,385,300</t>
  </si>
  <si>
    <t>1,450,600</t>
  </si>
  <si>
    <t>1,509,400</t>
  </si>
  <si>
    <t>1,563,600</t>
  </si>
  <si>
    <t>+1%</t>
  </si>
  <si>
    <t>+5%</t>
  </si>
  <si>
    <t>+8%</t>
  </si>
  <si>
    <t>+15%</t>
  </si>
  <si>
    <t>+20%</t>
  </si>
  <si>
    <t>+25%</t>
  </si>
  <si>
    <t>+30%</t>
  </si>
  <si>
    <t>1,205,900
(+0%)</t>
  </si>
  <si>
    <t>1,216,800
(+1%)</t>
  </si>
  <si>
    <t>1,260,400
(+5%)</t>
  </si>
  <si>
    <t>1,306,200
(+8%)</t>
  </si>
  <si>
    <t>1,385,300
(+15%)</t>
  </si>
  <si>
    <t>1,450,600
(+20%)</t>
  </si>
  <si>
    <t>1,509,400
(+25%)</t>
  </si>
  <si>
    <t>1,563,600
(+30%)</t>
  </si>
  <si>
    <t>Population ages 17 and under</t>
  </si>
  <si>
    <t>Population ages 18 to 64</t>
  </si>
  <si>
    <t>Population ages 65 and older</t>
  </si>
  <si>
    <t>Population ages 17 and under (percent)</t>
  </si>
  <si>
    <t>Population ages 18 to 64 (percent)</t>
  </si>
  <si>
    <t>Population ages 65 and older (percent)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</si>
</sst>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CEDS Region Population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'Detailed population forecast'!$B$1</c:f>
              <c:strCache>
                <c:ptCount val="1"/>
                <c:pt idx="0">
                  <c:v>Forecasted population</c:v>
                </c:pt>
              </c:strCache>
            </c:strRef>
          </c:tx>
          <c:spPr>
            <a:ln w="31750">
              <a:solidFill>
                <a:srgbClr val="2C7F68"/>
              </a:solidFill>
            </a:ln>
          </c:spPr>
          <c:marker>
            <c:symbol val="circle"/>
            <c:size val="5"/>
            <c:spPr>
              <a:solidFill>
                <a:srgbClr val="2C7F68"/>
              </a:solidFill>
              <a:ln>
                <a:noFill/>
              </a:ln>
            </c:spPr>
          </c:marker>
          <c:cat>
            <c:strRef>
              <c:f>'Detailed population forecast'!$A$2:$A$9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'Detailed population forecast'!$B$2:$B$9</c:f>
              <c:numCache>
                <c:formatCode>#,##0</c:formatCode>
                <c:ptCount val="8"/>
                <c:pt idx="0">
                  <c:v>2251797</c:v>
                </c:pt>
                <c:pt idx="1">
                  <c:v>2261683</c:v>
                </c:pt>
                <c:pt idx="2">
                  <c:v>2384482</c:v>
                </c:pt>
                <c:pt idx="3">
                  <c:v>2505534</c:v>
                </c:pt>
                <c:pt idx="4">
                  <c:v>2654910</c:v>
                </c:pt>
                <c:pt idx="5">
                  <c:v>2771911</c:v>
                </c:pt>
                <c:pt idx="6">
                  <c:v>2872732</c:v>
                </c:pt>
                <c:pt idx="7">
                  <c:v>2973554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5-447E-B907-785176378AC3}"/>
            </c:ext>
          </c:extLst>
        </c:ser>
        <c:ser>
          <c:idx val="1"/>
          <c:order val="1"/>
          <c:tx>
            <c:strRef>
              <c:f>'Detailed population forecast'!$C$1</c:f>
              <c:strCache>
                <c:ptCount val="1"/>
                <c:pt idx="0">
                  <c:v>Confidence Limit (lower)</c:v>
                </c:pt>
              </c:strCache>
            </c:strRef>
          </c:tx>
          <c:spPr>
            <a:ln w="31750">
              <a:solidFill>
                <a:srgbClr val="A6A6A6"/>
              </a:solidFill>
            </a:ln>
          </c:spPr>
          <c:marker>
            <c:symbol val="circle"/>
            <c:size val="5"/>
            <c:spPr>
              <a:solidFill>
                <a:srgbClr val="A6A6A6"/>
              </a:solidFill>
              <a:ln>
                <a:noFill/>
              </a:ln>
            </c:spPr>
          </c:marker>
          <c:cat>
            <c:strRef>
              <c:f>'Detailed population forecast'!$A$2:$A$9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'Detailed population forecast'!$C$2:$C$9</c:f>
              <c:numCache>
                <c:formatCode>#,##0</c:formatCode>
                <c:ptCount val="8"/>
                <c:pt idx="2">
                  <c:v>2281046</c:v>
                </c:pt>
                <c:pt idx="3">
                  <c:v>2274783</c:v>
                </c:pt>
                <c:pt idx="4">
                  <c:v>2239714</c:v>
                </c:pt>
                <c:pt idx="5">
                  <c:v>2181017</c:v>
                </c:pt>
                <c:pt idx="6">
                  <c:v>2101785</c:v>
                </c:pt>
                <c:pt idx="7">
                  <c:v>2004140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5-447E-B907-785176378AC3}"/>
            </c:ext>
          </c:extLst>
        </c:ser>
        <c:ser>
          <c:idx val="2"/>
          <c:order val="2"/>
          <c:tx>
            <c:strRef>
              <c:f>'Detailed population forecast'!$D$1</c:f>
              <c:strCache>
                <c:ptCount val="1"/>
                <c:pt idx="0">
                  <c:v>Confidence Limit (upper)</c:v>
                </c:pt>
              </c:strCache>
            </c:strRef>
          </c:tx>
          <c:spPr>
            <a:ln w="31750">
              <a:solidFill>
                <a:srgbClr val="A6A6A6"/>
              </a:solidFill>
            </a:ln>
          </c:spPr>
          <c:marker>
            <c:symbol val="circle"/>
            <c:size val="5"/>
            <c:spPr>
              <a:solidFill>
                <a:srgbClr val="A6A6A6"/>
              </a:solidFill>
              <a:ln>
                <a:noFill/>
              </a:ln>
            </c:spPr>
          </c:marker>
          <c:cat>
            <c:strRef>
              <c:f>'Detailed population forecast'!$A$2:$A$9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'Detailed population forecast'!$D$2:$D$9</c:f>
              <c:numCache>
                <c:formatCode>#,##0</c:formatCode>
                <c:ptCount val="8"/>
                <c:pt idx="2">
                  <c:v>2420418</c:v>
                </c:pt>
                <c:pt idx="3">
                  <c:v>2628330</c:v>
                </c:pt>
                <c:pt idx="4">
                  <c:v>2865039</c:v>
                </c:pt>
                <c:pt idx="5">
                  <c:v>3125373</c:v>
                </c:pt>
                <c:pt idx="6">
                  <c:v>3406243</c:v>
                </c:pt>
                <c:pt idx="7">
                  <c:v>3705525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A55-447E-B907-785176378A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10001"/>
        <c:axId val="50010002"/>
      </c:lineChart>
      <c:catAx>
        <c:axId val="5001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CEDS Region forecasted population with percent change since 2020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Population!$B$1</c:f>
              <c:strCache>
                <c:ptCount val="1"/>
                <c:pt idx="0">
                  <c:v>Population</c:v>
                </c:pt>
              </c:strCache>
            </c:strRef>
          </c:tx>
          <c:spPr>
            <a:solidFill>
              <a:srgbClr val="2E5072"/>
            </a:solidFill>
            <a:ln>
              <a:noFill/>
            </a:ln>
          </c:spPr>
          <c:invertIfNegative val="0"/>
          <c:cat>
            <c:strRef>
              <c:f>Population!$A$2:$A$9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Population!$B$2:$B$9</c:f>
              <c:numCache>
                <c:formatCode>#,##0</c:formatCode>
                <c:ptCount val="8"/>
                <c:pt idx="0">
                  <c:v>2251797</c:v>
                </c:pt>
                <c:pt idx="1">
                  <c:v>2261683</c:v>
                </c:pt>
                <c:pt idx="2">
                  <c:v>2384482</c:v>
                </c:pt>
                <c:pt idx="3">
                  <c:v>2505534</c:v>
                </c:pt>
                <c:pt idx="4">
                  <c:v>2654910</c:v>
                </c:pt>
                <c:pt idx="5">
                  <c:v>2771911</c:v>
                </c:pt>
                <c:pt idx="6">
                  <c:v>2872732</c:v>
                </c:pt>
                <c:pt idx="7">
                  <c:v>2973554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D8-4043-B466-59406681E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CEDS Region forecasted households with percent change since 2020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Households!$B$1</c:f>
              <c:strCache>
                <c:ptCount val="1"/>
                <c:pt idx="0">
                  <c:v>Households</c:v>
                </c:pt>
              </c:strCache>
            </c:strRef>
          </c:tx>
          <c:spPr>
            <a:solidFill>
              <a:srgbClr val="2C7F68"/>
            </a:solidFill>
            <a:ln>
              <a:noFill/>
            </a:ln>
          </c:spPr>
          <c:invertIfNegative val="0"/>
          <c:cat>
            <c:strRef>
              <c:f>Households!$A$2:$A$9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Households!$B$2:$B$9</c:f>
              <c:numCache>
                <c:formatCode>#,##0</c:formatCode>
                <c:ptCount val="8"/>
                <c:pt idx="0">
                  <c:v>862783</c:v>
                </c:pt>
                <c:pt idx="1">
                  <c:v>866170</c:v>
                </c:pt>
                <c:pt idx="2">
                  <c:v>912706</c:v>
                </c:pt>
                <c:pt idx="3">
                  <c:v>958107</c:v>
                </c:pt>
                <c:pt idx="4">
                  <c:v>1014325</c:v>
                </c:pt>
                <c:pt idx="5">
                  <c:v>1058178</c:v>
                </c:pt>
                <c:pt idx="6">
                  <c:v>1095850</c:v>
                </c:pt>
                <c:pt idx="7">
                  <c:v>1133524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5-45FE-8680-1E51707DE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30001"/>
        <c:axId val="50030002"/>
      </c:barChart>
      <c:catAx>
        <c:axId val="5003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CEDS Region forecasted housing units with percent change since 2020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'Housing units'!$B$1</c:f>
              <c:strCache>
                <c:ptCount val="1"/>
                <c:pt idx="0">
                  <c:v>Housing units</c:v>
                </c:pt>
              </c:strCache>
            </c:strRef>
          </c:tx>
          <c:spPr>
            <a:solidFill>
              <a:srgbClr val="2C6179"/>
            </a:solidFill>
            <a:ln>
              <a:noFill/>
            </a:ln>
          </c:spPr>
          <c:invertIfNegative val="0"/>
          <c:cat>
            <c:strRef>
              <c:f>'Housing units'!$A$2:$A$9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'Housing units'!$B$2:$B$9</c:f>
              <c:numCache>
                <c:formatCode>#,##0</c:formatCode>
                <c:ptCount val="8"/>
                <c:pt idx="0">
                  <c:v>934660</c:v>
                </c:pt>
                <c:pt idx="1">
                  <c:v>938246</c:v>
                </c:pt>
                <c:pt idx="2">
                  <c:v>988218</c:v>
                </c:pt>
                <c:pt idx="3">
                  <c:v>1036891</c:v>
                </c:pt>
                <c:pt idx="4">
                  <c:v>1097262</c:v>
                </c:pt>
                <c:pt idx="5">
                  <c:v>1144257</c:v>
                </c:pt>
                <c:pt idx="6">
                  <c:v>1184571</c:v>
                </c:pt>
                <c:pt idx="7">
                  <c:v>1224885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43-4479-B066-36946D66C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40001"/>
        <c:axId val="50040002"/>
      </c:barChart>
      <c:catAx>
        <c:axId val="5004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40002"/>
        <c:crosses val="autoZero"/>
        <c:auto val="1"/>
        <c:lblAlgn val="ctr"/>
        <c:lblOffset val="100"/>
        <c:noMultiLvlLbl val="0"/>
      </c:catAx>
      <c:valAx>
        <c:axId val="5004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40001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CEDS Region forecasted jobs by type with overall percent change since 2020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Jobs!$D$1</c:f>
              <c:strCache>
                <c:ptCount val="1"/>
                <c:pt idx="0">
                  <c:v>Office jobs</c:v>
                </c:pt>
              </c:strCache>
            </c:strRef>
          </c:tx>
          <c:spPr>
            <a:solidFill>
              <a:srgbClr val="2C7F68"/>
            </a:solidFill>
            <a:ln>
              <a:noFill/>
            </a:ln>
          </c:spPr>
          <c:invertIfNegative val="0"/>
          <c:cat>
            <c:strRef>
              <c:f>Jobs!$A$2:$A$9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Jobs!$D$2:$D$9</c:f>
              <c:numCache>
                <c:formatCode>#,##0</c:formatCode>
                <c:ptCount val="8"/>
                <c:pt idx="0">
                  <c:v>501639</c:v>
                </c:pt>
                <c:pt idx="1">
                  <c:v>506075</c:v>
                </c:pt>
                <c:pt idx="2">
                  <c:v>523814</c:v>
                </c:pt>
                <c:pt idx="3">
                  <c:v>545040</c:v>
                </c:pt>
                <c:pt idx="4">
                  <c:v>575748</c:v>
                </c:pt>
                <c:pt idx="5">
                  <c:v>602965</c:v>
                </c:pt>
                <c:pt idx="6">
                  <c:v>627314</c:v>
                </c:pt>
                <c:pt idx="7">
                  <c:v>649675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52-453E-BA35-3BC94DC34EC2}"/>
            </c:ext>
          </c:extLst>
        </c:ser>
        <c:ser>
          <c:idx val="1"/>
          <c:order val="1"/>
          <c:tx>
            <c:strRef>
              <c:f>Jobs!$E$1</c:f>
              <c:strCache>
                <c:ptCount val="1"/>
                <c:pt idx="0">
                  <c:v>Retail goods jobs</c:v>
                </c:pt>
              </c:strCache>
            </c:strRef>
          </c:tx>
          <c:spPr>
            <a:solidFill>
              <a:srgbClr val="66B561"/>
            </a:solidFill>
            <a:ln>
              <a:noFill/>
            </a:ln>
          </c:spPr>
          <c:invertIfNegative val="0"/>
          <c:cat>
            <c:strRef>
              <c:f>Jobs!$A$2:$A$9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Jobs!$E$2:$E$9</c:f>
              <c:numCache>
                <c:formatCode>#,##0</c:formatCode>
                <c:ptCount val="8"/>
                <c:pt idx="0">
                  <c:v>112902</c:v>
                </c:pt>
                <c:pt idx="1">
                  <c:v>113826</c:v>
                </c:pt>
                <c:pt idx="2">
                  <c:v>117519</c:v>
                </c:pt>
                <c:pt idx="3">
                  <c:v>122337</c:v>
                </c:pt>
                <c:pt idx="4">
                  <c:v>129390</c:v>
                </c:pt>
                <c:pt idx="5">
                  <c:v>135838</c:v>
                </c:pt>
                <c:pt idx="6">
                  <c:v>141709</c:v>
                </c:pt>
                <c:pt idx="7">
                  <c:v>147211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2-453E-BA35-3BC94DC34EC2}"/>
            </c:ext>
          </c:extLst>
        </c:ser>
        <c:ser>
          <c:idx val="2"/>
          <c:order val="2"/>
          <c:tx>
            <c:strRef>
              <c:f>Jobs!$F$1</c:f>
              <c:strCache>
                <c:ptCount val="1"/>
                <c:pt idx="0">
                  <c:v>Retail services jobs</c:v>
                </c:pt>
              </c:strCache>
            </c:strRef>
          </c:tx>
          <c:spPr>
            <a:solidFill>
              <a:srgbClr val="2E5072"/>
            </a:solidFill>
            <a:ln>
              <a:noFill/>
            </a:ln>
          </c:spPr>
          <c:invertIfNegative val="0"/>
          <c:cat>
            <c:strRef>
              <c:f>Jobs!$A$2:$A$9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Jobs!$F$2:$F$9</c:f>
              <c:numCache>
                <c:formatCode>#,##0</c:formatCode>
                <c:ptCount val="8"/>
                <c:pt idx="0">
                  <c:v>138249</c:v>
                </c:pt>
                <c:pt idx="1">
                  <c:v>139432</c:v>
                </c:pt>
                <c:pt idx="2">
                  <c:v>144160</c:v>
                </c:pt>
                <c:pt idx="3">
                  <c:v>144921</c:v>
                </c:pt>
                <c:pt idx="4">
                  <c:v>158922</c:v>
                </c:pt>
                <c:pt idx="5">
                  <c:v>166858</c:v>
                </c:pt>
                <c:pt idx="6">
                  <c:v>174067</c:v>
                </c:pt>
                <c:pt idx="7">
                  <c:v>180808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52-453E-BA35-3BC94DC34EC2}"/>
            </c:ext>
          </c:extLst>
        </c:ser>
        <c:ser>
          <c:idx val="3"/>
          <c:order val="3"/>
          <c:tx>
            <c:strRef>
              <c:f>Jobs!$C$1</c:f>
              <c:strCache>
                <c:ptCount val="1"/>
                <c:pt idx="0">
                  <c:v>Industrial jobs</c:v>
                </c:pt>
              </c:strCache>
            </c:strRef>
          </c:tx>
          <c:spPr>
            <a:solidFill>
              <a:srgbClr val="00B2BF"/>
            </a:solidFill>
            <a:ln>
              <a:noFill/>
            </a:ln>
          </c:spPr>
          <c:invertIfNegative val="0"/>
          <c:cat>
            <c:strRef>
              <c:f>Jobs!$A$2:$A$9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Jobs!$C$2:$C$9</c:f>
              <c:numCache>
                <c:formatCode>#,##0</c:formatCode>
                <c:ptCount val="8"/>
                <c:pt idx="0">
                  <c:v>255588</c:v>
                </c:pt>
                <c:pt idx="1">
                  <c:v>258604</c:v>
                </c:pt>
                <c:pt idx="2">
                  <c:v>270663</c:v>
                </c:pt>
                <c:pt idx="3">
                  <c:v>282445</c:v>
                </c:pt>
                <c:pt idx="4">
                  <c:v>298594</c:v>
                </c:pt>
                <c:pt idx="5">
                  <c:v>312195</c:v>
                </c:pt>
                <c:pt idx="6">
                  <c:v>324596</c:v>
                </c:pt>
                <c:pt idx="7">
                  <c:v>336048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52-453E-BA35-3BC94DC34EC2}"/>
            </c:ext>
          </c:extLst>
        </c:ser>
        <c:ser>
          <c:idx val="4"/>
          <c:order val="4"/>
          <c:tx>
            <c:strRef>
              <c:f>Jobs!$G$1</c:f>
              <c:strCache>
                <c:ptCount val="1"/>
                <c:pt idx="0">
                  <c:v>Other jobs</c:v>
                </c:pt>
              </c:strCache>
            </c:strRef>
          </c:tx>
          <c:spPr>
            <a:solidFill>
              <a:srgbClr val="0077BF"/>
            </a:solidFill>
            <a:ln>
              <a:noFill/>
            </a:ln>
          </c:spPr>
          <c:invertIfNegative val="0"/>
          <c:cat>
            <c:strRef>
              <c:f>Jobs!$A$2:$A$9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Jobs!$G$2:$G$9</c:f>
              <c:numCache>
                <c:formatCode>#,##0</c:formatCode>
                <c:ptCount val="8"/>
                <c:pt idx="0">
                  <c:v>197517</c:v>
                </c:pt>
                <c:pt idx="1">
                  <c:v>198868</c:v>
                </c:pt>
                <c:pt idx="2">
                  <c:v>204272</c:v>
                </c:pt>
                <c:pt idx="3">
                  <c:v>211485</c:v>
                </c:pt>
                <c:pt idx="4">
                  <c:v>222666</c:v>
                </c:pt>
                <c:pt idx="5">
                  <c:v>232750</c:v>
                </c:pt>
                <c:pt idx="6">
                  <c:v>241726</c:v>
                </c:pt>
                <c:pt idx="7">
                  <c:v>249869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52-453E-BA35-3BC94DC34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50001"/>
        <c:axId val="50050002"/>
      </c:barChart>
      <c:catAx>
        <c:axId val="5005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  <c:noMultiLvlLbl val="0"/>
      </c:catAx>
      <c:valAx>
        <c:axId val="50050002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5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CEDS Region forecasted population by age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'Population by age'!$F$1</c:f>
              <c:strCache>
                <c:ptCount val="1"/>
                <c:pt idx="0">
                  <c:v>Population ages 17 and under (percent)</c:v>
                </c:pt>
              </c:strCache>
            </c:strRef>
          </c:tx>
          <c:spPr>
            <a:solidFill>
              <a:srgbClr val="2E5072"/>
            </a:solidFill>
            <a:ln>
              <a:noFill/>
            </a:ln>
          </c:spPr>
          <c:invertIfNegative val="0"/>
          <c:cat>
            <c:strRef>
              <c:f>'Population by age'!$A$2:$A$9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'Population by age'!$F$2:$F$9</c:f>
              <c:numCache>
                <c:formatCode>#,##0.00</c:formatCode>
                <c:ptCount val="8"/>
                <c:pt idx="0">
                  <c:v>0.2333984813018225</c:v>
                </c:pt>
                <c:pt idx="1">
                  <c:v>0.23373257879198811</c:v>
                </c:pt>
                <c:pt idx="2">
                  <c:v>0.23112231503529909</c:v>
                </c:pt>
                <c:pt idx="3">
                  <c:v>0.22912281373950619</c:v>
                </c:pt>
                <c:pt idx="4">
                  <c:v>0.22672896633030881</c:v>
                </c:pt>
                <c:pt idx="5">
                  <c:v>0.22588279349517351</c:v>
                </c:pt>
                <c:pt idx="6">
                  <c:v>0.22412846029493869</c:v>
                </c:pt>
                <c:pt idx="7">
                  <c:v>0.2230690950963056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E-450D-AC5A-DC1EA56512EE}"/>
            </c:ext>
          </c:extLst>
        </c:ser>
        <c:ser>
          <c:idx val="1"/>
          <c:order val="1"/>
          <c:tx>
            <c:strRef>
              <c:f>'Population by age'!$G$1</c:f>
              <c:strCache>
                <c:ptCount val="1"/>
                <c:pt idx="0">
                  <c:v>Population ages 18 to 64 (percent)</c:v>
                </c:pt>
              </c:strCache>
            </c:strRef>
          </c:tx>
          <c:spPr>
            <a:solidFill>
              <a:srgbClr val="00B2BF"/>
            </a:solidFill>
            <a:ln>
              <a:noFill/>
            </a:ln>
          </c:spPr>
          <c:invertIfNegative val="0"/>
          <c:cat>
            <c:strRef>
              <c:f>'Population by age'!$A$2:$A$9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'Population by age'!$G$2:$G$9</c:f>
              <c:numCache>
                <c:formatCode>#,##0.00</c:formatCode>
                <c:ptCount val="8"/>
                <c:pt idx="0">
                  <c:v>0.62408822820174292</c:v>
                </c:pt>
                <c:pt idx="1">
                  <c:v>0.62372401437336711</c:v>
                </c:pt>
                <c:pt idx="2">
                  <c:v>0.61151772166868945</c:v>
                </c:pt>
                <c:pt idx="3">
                  <c:v>0.60279006391451884</c:v>
                </c:pt>
                <c:pt idx="4">
                  <c:v>0.60210440278578181</c:v>
                </c:pt>
                <c:pt idx="5">
                  <c:v>0.60464387204351078</c:v>
                </c:pt>
                <c:pt idx="6">
                  <c:v>0.60949681348625628</c:v>
                </c:pt>
                <c:pt idx="7">
                  <c:v>0.61068405012991189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E-450D-AC5A-DC1EA56512EE}"/>
            </c:ext>
          </c:extLst>
        </c:ser>
        <c:ser>
          <c:idx val="2"/>
          <c:order val="2"/>
          <c:tx>
            <c:strRef>
              <c:f>'Population by age'!$H$1</c:f>
              <c:strCache>
                <c:ptCount val="1"/>
                <c:pt idx="0">
                  <c:v>Population ages 65 and older (percent)</c:v>
                </c:pt>
              </c:strCache>
            </c:strRef>
          </c:tx>
          <c:spPr>
            <a:solidFill>
              <a:srgbClr val="0077BF"/>
            </a:solidFill>
            <a:ln>
              <a:noFill/>
            </a:ln>
          </c:spPr>
          <c:invertIfNegative val="0"/>
          <c:cat>
            <c:strRef>
              <c:f>'Population by age'!$A$2:$A$9</c:f>
              <c:strCache>
                <c:ptCount val="8"/>
                <c:pt idx="0">
                  <c:v>2020</c:v>
                </c:pt>
                <c:pt idx="1">
                  <c:v>2021</c:v>
                </c:pt>
                <c:pt idx="2">
                  <c:v>2025</c:v>
                </c:pt>
                <c:pt idx="3">
                  <c:v>2030</c:v>
                </c:pt>
                <c:pt idx="4">
                  <c:v>2035</c:v>
                </c:pt>
                <c:pt idx="5">
                  <c:v>2040</c:v>
                </c:pt>
                <c:pt idx="6">
                  <c:v>2045</c:v>
                </c:pt>
                <c:pt idx="7">
                  <c:v>2050</c:v>
                </c:pt>
              </c:strCache>
            </c:strRef>
          </c:cat>
          <c:val>
            <c:numRef>
              <c:f>'Population by age'!$H$2:$H$9</c:f>
              <c:numCache>
                <c:formatCode>#,##0.00</c:formatCode>
                <c:ptCount val="8"/>
                <c:pt idx="0">
                  <c:v>0.1425132904964346</c:v>
                </c:pt>
                <c:pt idx="1">
                  <c:v>0.14254340683464481</c:v>
                </c:pt>
                <c:pt idx="2">
                  <c:v>0.15735996329601151</c:v>
                </c:pt>
                <c:pt idx="3">
                  <c:v>0.16808712234597489</c:v>
                </c:pt>
                <c:pt idx="4">
                  <c:v>0.1711666308839094</c:v>
                </c:pt>
                <c:pt idx="5">
                  <c:v>0.16947333446131571</c:v>
                </c:pt>
                <c:pt idx="6">
                  <c:v>0.16637472621880489</c:v>
                </c:pt>
                <c:pt idx="7">
                  <c:v>0.16624685477378251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9E-450D-AC5A-DC1EA5651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60001"/>
        <c:axId val="50060002"/>
      </c:barChart>
      <c:catAx>
        <c:axId val="5006000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60002"/>
        <c:crosses val="autoZero"/>
        <c:auto val="1"/>
        <c:lblAlgn val="ctr"/>
        <c:lblOffset val="100"/>
        <c:noMultiLvlLbl val="0"/>
      </c:catAx>
      <c:valAx>
        <c:axId val="50060002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low"/>
        <c:txPr>
          <a:bodyPr/>
          <a:lstStyle/>
          <a:p>
            <a:pPr>
              <a:defRPr sz="800" baseline="0">
                <a:latin typeface="Arial"/>
              </a:defRPr>
            </a:pPr>
            <a:endParaRPr lang="en-US"/>
          </a:p>
        </c:txPr>
        <c:crossAx val="5006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12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15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0</xdr:rowOff>
    </xdr:from>
    <xdr:to>
      <xdr:col>20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0</xdr:row>
      <xdr:rowOff>0</xdr:rowOff>
    </xdr:from>
    <xdr:to>
      <xdr:col>16</xdr:col>
      <xdr:colOff>304800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workbookViewId="0"/>
  </sheetViews>
  <sheetFormatPr defaultRowHeight="14.4" x14ac:dyDescent="0.3"/>
  <cols>
    <col min="2" max="4" width="12.6640625" style="1" customWidth="1"/>
  </cols>
  <sheetData>
    <row r="1" spans="1:4" x14ac:dyDescent="0.3">
      <c r="A1" s="2" t="s">
        <v>3</v>
      </c>
      <c r="B1" s="2" t="s">
        <v>0</v>
      </c>
      <c r="C1" s="2" t="s">
        <v>1</v>
      </c>
      <c r="D1" s="2" t="s">
        <v>2</v>
      </c>
    </row>
    <row r="2" spans="1:4" x14ac:dyDescent="0.3">
      <c r="A2" s="2" t="s">
        <v>4</v>
      </c>
      <c r="B2" s="1">
        <v>2251797</v>
      </c>
    </row>
    <row r="3" spans="1:4" x14ac:dyDescent="0.3">
      <c r="A3" s="2" t="s">
        <v>5</v>
      </c>
      <c r="B3" s="1">
        <v>2261683</v>
      </c>
    </row>
    <row r="4" spans="1:4" x14ac:dyDescent="0.3">
      <c r="A4" s="2" t="s">
        <v>6</v>
      </c>
      <c r="B4" s="1">
        <v>2384482</v>
      </c>
      <c r="C4" s="1">
        <v>2281046</v>
      </c>
      <c r="D4" s="1">
        <v>2420418</v>
      </c>
    </row>
    <row r="5" spans="1:4" x14ac:dyDescent="0.3">
      <c r="A5" s="2" t="s">
        <v>7</v>
      </c>
      <c r="B5" s="1">
        <v>2505534</v>
      </c>
      <c r="C5" s="1">
        <v>2274783</v>
      </c>
      <c r="D5" s="1">
        <v>2628330</v>
      </c>
    </row>
    <row r="6" spans="1:4" x14ac:dyDescent="0.3">
      <c r="A6" s="2" t="s">
        <v>8</v>
      </c>
      <c r="B6" s="1">
        <v>2654910</v>
      </c>
      <c r="C6" s="1">
        <v>2239714</v>
      </c>
      <c r="D6" s="1">
        <v>2865039</v>
      </c>
    </row>
    <row r="7" spans="1:4" x14ac:dyDescent="0.3">
      <c r="A7" s="2" t="s">
        <v>9</v>
      </c>
      <c r="B7" s="1">
        <v>2771911</v>
      </c>
      <c r="C7" s="1">
        <v>2181017</v>
      </c>
      <c r="D7" s="1">
        <v>3125373</v>
      </c>
    </row>
    <row r="8" spans="1:4" x14ac:dyDescent="0.3">
      <c r="A8" s="2" t="s">
        <v>10</v>
      </c>
      <c r="B8" s="1">
        <v>2872732</v>
      </c>
      <c r="C8" s="1">
        <v>2101785</v>
      </c>
      <c r="D8" s="1">
        <v>3406243</v>
      </c>
    </row>
    <row r="9" spans="1:4" x14ac:dyDescent="0.3">
      <c r="A9" s="2" t="s">
        <v>11</v>
      </c>
      <c r="B9" s="1">
        <v>2973554</v>
      </c>
      <c r="C9" s="1">
        <v>2004140</v>
      </c>
      <c r="D9" s="1">
        <v>3705525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/>
  </sheetViews>
  <sheetFormatPr defaultRowHeight="14.4" x14ac:dyDescent="0.3"/>
  <cols>
    <col min="2" max="3" width="12.6640625" style="1" customWidth="1"/>
    <col min="4" max="4" width="12.6640625" style="3" customWidth="1"/>
    <col min="5" max="7" width="12.6640625" style="4" customWidth="1"/>
  </cols>
  <sheetData>
    <row r="1" spans="1:7" x14ac:dyDescent="0.3">
      <c r="A1" s="2" t="s">
        <v>3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</row>
    <row r="2" spans="1:7" x14ac:dyDescent="0.3">
      <c r="A2" s="2" t="s">
        <v>4</v>
      </c>
      <c r="B2" s="1">
        <v>2251797</v>
      </c>
      <c r="C2" s="1">
        <v>0</v>
      </c>
      <c r="D2" s="3">
        <v>0</v>
      </c>
      <c r="E2" s="4" t="s">
        <v>18</v>
      </c>
      <c r="F2" s="4" t="s">
        <v>26</v>
      </c>
      <c r="G2" s="4" t="s">
        <v>33</v>
      </c>
    </row>
    <row r="3" spans="1:7" x14ac:dyDescent="0.3">
      <c r="A3" s="2" t="s">
        <v>5</v>
      </c>
      <c r="B3" s="1">
        <v>2261683</v>
      </c>
      <c r="C3" s="1">
        <v>9886</v>
      </c>
      <c r="D3" s="3">
        <v>4.390271414341524E-3</v>
      </c>
      <c r="E3" s="4" t="s">
        <v>19</v>
      </c>
      <c r="F3" s="4" t="s">
        <v>26</v>
      </c>
      <c r="G3" s="4" t="s">
        <v>34</v>
      </c>
    </row>
    <row r="4" spans="1:7" x14ac:dyDescent="0.3">
      <c r="A4" s="2" t="s">
        <v>6</v>
      </c>
      <c r="B4" s="1">
        <v>2384482</v>
      </c>
      <c r="C4" s="1">
        <v>132685</v>
      </c>
      <c r="D4" s="3">
        <v>5.8924050436162757E-2</v>
      </c>
      <c r="E4" s="4" t="s">
        <v>20</v>
      </c>
      <c r="F4" s="4" t="s">
        <v>27</v>
      </c>
      <c r="G4" s="4" t="s">
        <v>35</v>
      </c>
    </row>
    <row r="5" spans="1:7" x14ac:dyDescent="0.3">
      <c r="A5" s="2" t="s">
        <v>7</v>
      </c>
      <c r="B5" s="1">
        <v>2505534</v>
      </c>
      <c r="C5" s="1">
        <v>253737</v>
      </c>
      <c r="D5" s="3">
        <v>0.11268200463896171</v>
      </c>
      <c r="E5" s="4" t="s">
        <v>21</v>
      </c>
      <c r="F5" s="4" t="s">
        <v>28</v>
      </c>
      <c r="G5" s="4" t="s">
        <v>36</v>
      </c>
    </row>
    <row r="6" spans="1:7" x14ac:dyDescent="0.3">
      <c r="A6" s="2" t="s">
        <v>8</v>
      </c>
      <c r="B6" s="1">
        <v>2654910</v>
      </c>
      <c r="C6" s="1">
        <v>403113</v>
      </c>
      <c r="D6" s="3">
        <v>0.1790183573386056</v>
      </c>
      <c r="E6" s="4" t="s">
        <v>22</v>
      </c>
      <c r="F6" s="4" t="s">
        <v>29</v>
      </c>
      <c r="G6" s="4" t="s">
        <v>37</v>
      </c>
    </row>
    <row r="7" spans="1:7" x14ac:dyDescent="0.3">
      <c r="A7" s="2" t="s">
        <v>9</v>
      </c>
      <c r="B7" s="1">
        <v>2771911</v>
      </c>
      <c r="C7" s="1">
        <v>520114</v>
      </c>
      <c r="D7" s="3">
        <v>0.23097730390439281</v>
      </c>
      <c r="E7" s="4" t="s">
        <v>23</v>
      </c>
      <c r="F7" s="4" t="s">
        <v>30</v>
      </c>
      <c r="G7" s="4" t="s">
        <v>38</v>
      </c>
    </row>
    <row r="8" spans="1:7" x14ac:dyDescent="0.3">
      <c r="A8" s="2" t="s">
        <v>10</v>
      </c>
      <c r="B8" s="1">
        <v>2872732</v>
      </c>
      <c r="C8" s="1">
        <v>620935</v>
      </c>
      <c r="D8" s="3">
        <v>0.27575087807648729</v>
      </c>
      <c r="E8" s="4" t="s">
        <v>24</v>
      </c>
      <c r="F8" s="4" t="s">
        <v>31</v>
      </c>
      <c r="G8" s="4" t="s">
        <v>39</v>
      </c>
    </row>
    <row r="9" spans="1:7" x14ac:dyDescent="0.3">
      <c r="A9" s="2" t="s">
        <v>11</v>
      </c>
      <c r="B9" s="1">
        <v>2973554</v>
      </c>
      <c r="C9" s="1">
        <v>721757</v>
      </c>
      <c r="D9" s="3">
        <v>0.32052489633834669</v>
      </c>
      <c r="E9" s="4" t="s">
        <v>25</v>
      </c>
      <c r="F9" s="4" t="s">
        <v>32</v>
      </c>
      <c r="G9" s="4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workbookViewId="0"/>
  </sheetViews>
  <sheetFormatPr defaultRowHeight="14.4" x14ac:dyDescent="0.3"/>
  <cols>
    <col min="2" max="3" width="12.6640625" style="1" customWidth="1"/>
    <col min="4" max="4" width="12.6640625" style="3" customWidth="1"/>
    <col min="5" max="7" width="12.6640625" style="4" customWidth="1"/>
  </cols>
  <sheetData>
    <row r="1" spans="1:7" x14ac:dyDescent="0.3">
      <c r="A1" s="2" t="s">
        <v>3</v>
      </c>
      <c r="B1" s="2" t="s">
        <v>41</v>
      </c>
      <c r="C1" s="2" t="s">
        <v>13</v>
      </c>
      <c r="D1" s="2" t="s">
        <v>14</v>
      </c>
      <c r="E1" s="2" t="s">
        <v>42</v>
      </c>
      <c r="F1" s="2" t="s">
        <v>16</v>
      </c>
      <c r="G1" s="2" t="s">
        <v>17</v>
      </c>
    </row>
    <row r="2" spans="1:7" x14ac:dyDescent="0.3">
      <c r="A2" s="2" t="s">
        <v>4</v>
      </c>
      <c r="B2" s="1">
        <v>862783</v>
      </c>
      <c r="C2" s="1">
        <v>0</v>
      </c>
      <c r="D2" s="3">
        <v>0</v>
      </c>
      <c r="E2" s="4" t="s">
        <v>43</v>
      </c>
      <c r="F2" s="4" t="s">
        <v>26</v>
      </c>
      <c r="G2" s="4" t="s">
        <v>53</v>
      </c>
    </row>
    <row r="3" spans="1:7" x14ac:dyDescent="0.3">
      <c r="A3" s="2" t="s">
        <v>5</v>
      </c>
      <c r="B3" s="1">
        <v>866170</v>
      </c>
      <c r="C3" s="1">
        <v>3387</v>
      </c>
      <c r="D3" s="3">
        <v>3.9256684473384382E-3</v>
      </c>
      <c r="E3" s="4" t="s">
        <v>44</v>
      </c>
      <c r="F3" s="4" t="s">
        <v>26</v>
      </c>
      <c r="G3" s="4" t="s">
        <v>54</v>
      </c>
    </row>
    <row r="4" spans="1:7" x14ac:dyDescent="0.3">
      <c r="A4" s="2" t="s">
        <v>6</v>
      </c>
      <c r="B4" s="1">
        <v>912706</v>
      </c>
      <c r="C4" s="1">
        <v>49923</v>
      </c>
      <c r="D4" s="3">
        <v>5.7862753438581889E-2</v>
      </c>
      <c r="E4" s="4" t="s">
        <v>45</v>
      </c>
      <c r="F4" s="4" t="s">
        <v>27</v>
      </c>
      <c r="G4" s="4" t="s">
        <v>55</v>
      </c>
    </row>
    <row r="5" spans="1:7" x14ac:dyDescent="0.3">
      <c r="A5" s="2" t="s">
        <v>7</v>
      </c>
      <c r="B5" s="1">
        <v>958107</v>
      </c>
      <c r="C5" s="1">
        <v>95324</v>
      </c>
      <c r="D5" s="3">
        <v>0.11048432804077039</v>
      </c>
      <c r="E5" s="4" t="s">
        <v>46</v>
      </c>
      <c r="F5" s="4" t="s">
        <v>28</v>
      </c>
      <c r="G5" s="4" t="s">
        <v>56</v>
      </c>
    </row>
    <row r="6" spans="1:7" x14ac:dyDescent="0.3">
      <c r="A6" s="2" t="s">
        <v>8</v>
      </c>
      <c r="B6" s="1">
        <v>1014325</v>
      </c>
      <c r="C6" s="1">
        <v>151542</v>
      </c>
      <c r="D6" s="3">
        <v>0.17564323821864819</v>
      </c>
      <c r="E6" s="4" t="s">
        <v>47</v>
      </c>
      <c r="F6" s="4" t="s">
        <v>29</v>
      </c>
      <c r="G6" s="4" t="s">
        <v>57</v>
      </c>
    </row>
    <row r="7" spans="1:7" x14ac:dyDescent="0.3">
      <c r="A7" s="2" t="s">
        <v>9</v>
      </c>
      <c r="B7" s="1">
        <v>1058178</v>
      </c>
      <c r="C7" s="1">
        <v>195395</v>
      </c>
      <c r="D7" s="3">
        <v>0.22647061891576439</v>
      </c>
      <c r="E7" s="4" t="s">
        <v>48</v>
      </c>
      <c r="F7" s="4" t="s">
        <v>30</v>
      </c>
      <c r="G7" s="4" t="s">
        <v>58</v>
      </c>
    </row>
    <row r="8" spans="1:7" x14ac:dyDescent="0.3">
      <c r="A8" s="2" t="s">
        <v>10</v>
      </c>
      <c r="B8" s="1">
        <v>1095850</v>
      </c>
      <c r="C8" s="1">
        <v>233067</v>
      </c>
      <c r="D8" s="3">
        <v>0.27013397343248541</v>
      </c>
      <c r="E8" s="4" t="s">
        <v>49</v>
      </c>
      <c r="F8" s="4" t="s">
        <v>51</v>
      </c>
      <c r="G8" s="4" t="s">
        <v>59</v>
      </c>
    </row>
    <row r="9" spans="1:7" x14ac:dyDescent="0.3">
      <c r="A9" s="2" t="s">
        <v>11</v>
      </c>
      <c r="B9" s="1">
        <v>1133524</v>
      </c>
      <c r="C9" s="1">
        <v>270741</v>
      </c>
      <c r="D9" s="3">
        <v>0.31379964602918692</v>
      </c>
      <c r="E9" s="4" t="s">
        <v>50</v>
      </c>
      <c r="F9" s="4" t="s">
        <v>52</v>
      </c>
      <c r="G9" s="4" t="s">
        <v>60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"/>
  <sheetViews>
    <sheetView workbookViewId="0"/>
  </sheetViews>
  <sheetFormatPr defaultRowHeight="14.4" x14ac:dyDescent="0.3"/>
  <cols>
    <col min="2" max="3" width="12.6640625" style="1" customWidth="1"/>
    <col min="4" max="4" width="12.6640625" style="3" customWidth="1"/>
    <col min="5" max="7" width="12.6640625" style="4" customWidth="1"/>
  </cols>
  <sheetData>
    <row r="1" spans="1:7" x14ac:dyDescent="0.3">
      <c r="A1" s="2" t="s">
        <v>3</v>
      </c>
      <c r="B1" s="2" t="s">
        <v>61</v>
      </c>
      <c r="C1" s="2" t="s">
        <v>13</v>
      </c>
      <c r="D1" s="2" t="s">
        <v>14</v>
      </c>
      <c r="E1" s="2" t="s">
        <v>62</v>
      </c>
      <c r="F1" s="2" t="s">
        <v>16</v>
      </c>
      <c r="G1" s="2" t="s">
        <v>17</v>
      </c>
    </row>
    <row r="2" spans="1:7" x14ac:dyDescent="0.3">
      <c r="A2" s="2" t="s">
        <v>4</v>
      </c>
      <c r="B2" s="1">
        <v>934660</v>
      </c>
      <c r="C2" s="1">
        <v>0</v>
      </c>
      <c r="D2" s="3">
        <v>0</v>
      </c>
      <c r="E2" s="4" t="s">
        <v>63</v>
      </c>
      <c r="F2" s="4" t="s">
        <v>26</v>
      </c>
      <c r="G2" s="4" t="s">
        <v>73</v>
      </c>
    </row>
    <row r="3" spans="1:7" x14ac:dyDescent="0.3">
      <c r="A3" s="2" t="s">
        <v>5</v>
      </c>
      <c r="B3" s="1">
        <v>938246</v>
      </c>
      <c r="C3" s="1">
        <v>3586</v>
      </c>
      <c r="D3" s="3">
        <v>3.836689277384289E-3</v>
      </c>
      <c r="E3" s="4" t="s">
        <v>64</v>
      </c>
      <c r="F3" s="4" t="s">
        <v>26</v>
      </c>
      <c r="G3" s="4" t="s">
        <v>74</v>
      </c>
    </row>
    <row r="4" spans="1:7" x14ac:dyDescent="0.3">
      <c r="A4" s="2" t="s">
        <v>6</v>
      </c>
      <c r="B4" s="1">
        <v>988218</v>
      </c>
      <c r="C4" s="1">
        <v>53558</v>
      </c>
      <c r="D4" s="3">
        <v>5.7302120557207972E-2</v>
      </c>
      <c r="E4" s="4" t="s">
        <v>65</v>
      </c>
      <c r="F4" s="4" t="s">
        <v>27</v>
      </c>
      <c r="G4" s="4" t="s">
        <v>75</v>
      </c>
    </row>
    <row r="5" spans="1:7" x14ac:dyDescent="0.3">
      <c r="A5" s="2" t="s">
        <v>7</v>
      </c>
      <c r="B5" s="1">
        <v>1036891</v>
      </c>
      <c r="C5" s="1">
        <v>102231</v>
      </c>
      <c r="D5" s="3">
        <v>0.1093777416386707</v>
      </c>
      <c r="E5" s="4" t="s">
        <v>66</v>
      </c>
      <c r="F5" s="4" t="s">
        <v>28</v>
      </c>
      <c r="G5" s="4" t="s">
        <v>76</v>
      </c>
    </row>
    <row r="6" spans="1:7" x14ac:dyDescent="0.3">
      <c r="A6" s="2" t="s">
        <v>8</v>
      </c>
      <c r="B6" s="1">
        <v>1097262</v>
      </c>
      <c r="C6" s="1">
        <v>162602</v>
      </c>
      <c r="D6" s="3">
        <v>0.17396914385979931</v>
      </c>
      <c r="E6" s="4" t="s">
        <v>67</v>
      </c>
      <c r="F6" s="4" t="s">
        <v>71</v>
      </c>
      <c r="G6" s="4" t="s">
        <v>77</v>
      </c>
    </row>
    <row r="7" spans="1:7" x14ac:dyDescent="0.3">
      <c r="A7" s="2" t="s">
        <v>9</v>
      </c>
      <c r="B7" s="1">
        <v>1144257</v>
      </c>
      <c r="C7" s="1">
        <v>209597</v>
      </c>
      <c r="D7" s="3">
        <v>0.22424945969657409</v>
      </c>
      <c r="E7" s="4" t="s">
        <v>68</v>
      </c>
      <c r="F7" s="4" t="s">
        <v>72</v>
      </c>
      <c r="G7" s="4" t="s">
        <v>78</v>
      </c>
    </row>
    <row r="8" spans="1:7" x14ac:dyDescent="0.3">
      <c r="A8" s="2" t="s">
        <v>10</v>
      </c>
      <c r="B8" s="1">
        <v>1184571</v>
      </c>
      <c r="C8" s="1">
        <v>249911</v>
      </c>
      <c r="D8" s="3">
        <v>0.26738172169558982</v>
      </c>
      <c r="E8" s="4" t="s">
        <v>69</v>
      </c>
      <c r="F8" s="4" t="s">
        <v>51</v>
      </c>
      <c r="G8" s="4" t="s">
        <v>79</v>
      </c>
    </row>
    <row r="9" spans="1:7" x14ac:dyDescent="0.3">
      <c r="A9" s="2" t="s">
        <v>11</v>
      </c>
      <c r="B9" s="1">
        <v>1224885</v>
      </c>
      <c r="C9" s="1">
        <v>290225</v>
      </c>
      <c r="D9" s="3">
        <v>0.31051398369460548</v>
      </c>
      <c r="E9" s="4" t="s">
        <v>70</v>
      </c>
      <c r="F9" s="4" t="s">
        <v>52</v>
      </c>
      <c r="G9" s="4" t="s">
        <v>80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"/>
  <sheetViews>
    <sheetView topLeftCell="B1" workbookViewId="0"/>
  </sheetViews>
  <sheetFormatPr defaultRowHeight="14.4" x14ac:dyDescent="0.3"/>
  <cols>
    <col min="2" max="8" width="12.6640625" style="1" customWidth="1"/>
    <col min="9" max="9" width="12.6640625" style="3" customWidth="1"/>
    <col min="10" max="12" width="12.6640625" style="4" customWidth="1"/>
  </cols>
  <sheetData>
    <row r="1" spans="1:12" x14ac:dyDescent="0.3">
      <c r="A1" s="2" t="s">
        <v>3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  <c r="I1" s="2" t="s">
        <v>14</v>
      </c>
      <c r="J1" s="2" t="s">
        <v>88</v>
      </c>
      <c r="K1" s="2" t="s">
        <v>16</v>
      </c>
      <c r="L1" s="2" t="s">
        <v>17</v>
      </c>
    </row>
    <row r="2" spans="1:12" x14ac:dyDescent="0.3">
      <c r="A2" s="2" t="s">
        <v>4</v>
      </c>
      <c r="B2" s="1">
        <v>1205895</v>
      </c>
      <c r="C2" s="1">
        <v>255588</v>
      </c>
      <c r="D2" s="1">
        <v>501639</v>
      </c>
      <c r="E2" s="1">
        <v>112902</v>
      </c>
      <c r="F2" s="1">
        <v>138249</v>
      </c>
      <c r="G2" s="1">
        <v>197517</v>
      </c>
      <c r="H2" s="1">
        <v>0</v>
      </c>
      <c r="I2" s="3">
        <v>0</v>
      </c>
      <c r="J2" s="4" t="s">
        <v>89</v>
      </c>
      <c r="K2" s="4" t="s">
        <v>26</v>
      </c>
      <c r="L2" s="4" t="s">
        <v>104</v>
      </c>
    </row>
    <row r="3" spans="1:12" x14ac:dyDescent="0.3">
      <c r="A3" s="2" t="s">
        <v>5</v>
      </c>
      <c r="B3" s="1">
        <v>1216805</v>
      </c>
      <c r="C3" s="1">
        <v>258604</v>
      </c>
      <c r="D3" s="1">
        <v>506075</v>
      </c>
      <c r="E3" s="1">
        <v>113826</v>
      </c>
      <c r="F3" s="1">
        <v>139432</v>
      </c>
      <c r="G3" s="1">
        <v>198868</v>
      </c>
      <c r="H3" s="1">
        <v>10910</v>
      </c>
      <c r="I3" s="3">
        <v>9.0472221876697397E-3</v>
      </c>
      <c r="J3" s="4" t="s">
        <v>90</v>
      </c>
      <c r="K3" s="4" t="s">
        <v>97</v>
      </c>
      <c r="L3" s="4" t="s">
        <v>105</v>
      </c>
    </row>
    <row r="4" spans="1:12" x14ac:dyDescent="0.3">
      <c r="A4" s="2" t="s">
        <v>6</v>
      </c>
      <c r="B4" s="1">
        <v>1260428</v>
      </c>
      <c r="C4" s="1">
        <v>270663</v>
      </c>
      <c r="D4" s="1">
        <v>523814</v>
      </c>
      <c r="E4" s="1">
        <v>117519</v>
      </c>
      <c r="F4" s="1">
        <v>144160</v>
      </c>
      <c r="G4" s="1">
        <v>204272</v>
      </c>
      <c r="H4" s="1">
        <v>54533</v>
      </c>
      <c r="I4" s="3">
        <v>4.5222013525224002E-2</v>
      </c>
      <c r="J4" s="4" t="s">
        <v>91</v>
      </c>
      <c r="K4" s="4" t="s">
        <v>98</v>
      </c>
      <c r="L4" s="4" t="s">
        <v>106</v>
      </c>
    </row>
    <row r="5" spans="1:12" x14ac:dyDescent="0.3">
      <c r="A5" s="2" t="s">
        <v>7</v>
      </c>
      <c r="B5" s="1">
        <v>1306228</v>
      </c>
      <c r="C5" s="1">
        <v>282445</v>
      </c>
      <c r="D5" s="1">
        <v>545040</v>
      </c>
      <c r="E5" s="1">
        <v>122337</v>
      </c>
      <c r="F5" s="1">
        <v>144921</v>
      </c>
      <c r="G5" s="1">
        <v>211485</v>
      </c>
      <c r="H5" s="1">
        <v>100333</v>
      </c>
      <c r="I5" s="3">
        <v>8.3202103002334368E-2</v>
      </c>
      <c r="J5" s="4" t="s">
        <v>92</v>
      </c>
      <c r="K5" s="4" t="s">
        <v>99</v>
      </c>
      <c r="L5" s="4" t="s">
        <v>107</v>
      </c>
    </row>
    <row r="6" spans="1:12" x14ac:dyDescent="0.3">
      <c r="A6" s="2" t="s">
        <v>8</v>
      </c>
      <c r="B6" s="1">
        <v>1385320</v>
      </c>
      <c r="C6" s="1">
        <v>298594</v>
      </c>
      <c r="D6" s="1">
        <v>575748</v>
      </c>
      <c r="E6" s="1">
        <v>129390</v>
      </c>
      <c r="F6" s="1">
        <v>158922</v>
      </c>
      <c r="G6" s="1">
        <v>222666</v>
      </c>
      <c r="H6" s="1">
        <v>179425</v>
      </c>
      <c r="I6" s="3">
        <v>0.14878990293516431</v>
      </c>
      <c r="J6" s="4" t="s">
        <v>93</v>
      </c>
      <c r="K6" s="4" t="s">
        <v>100</v>
      </c>
      <c r="L6" s="4" t="s">
        <v>108</v>
      </c>
    </row>
    <row r="7" spans="1:12" x14ac:dyDescent="0.3">
      <c r="A7" s="2" t="s">
        <v>9</v>
      </c>
      <c r="B7" s="1">
        <v>1450606</v>
      </c>
      <c r="C7" s="1">
        <v>312195</v>
      </c>
      <c r="D7" s="1">
        <v>602965</v>
      </c>
      <c r="E7" s="1">
        <v>135838</v>
      </c>
      <c r="F7" s="1">
        <v>166858</v>
      </c>
      <c r="G7" s="1">
        <v>232750</v>
      </c>
      <c r="H7" s="1">
        <v>244711</v>
      </c>
      <c r="I7" s="3">
        <v>0.20292894489155361</v>
      </c>
      <c r="J7" s="4" t="s">
        <v>94</v>
      </c>
      <c r="K7" s="4" t="s">
        <v>101</v>
      </c>
      <c r="L7" s="4" t="s">
        <v>109</v>
      </c>
    </row>
    <row r="8" spans="1:12" x14ac:dyDescent="0.3">
      <c r="A8" s="2" t="s">
        <v>10</v>
      </c>
      <c r="B8" s="1">
        <v>1509412</v>
      </c>
      <c r="C8" s="1">
        <v>324596</v>
      </c>
      <c r="D8" s="1">
        <v>627314</v>
      </c>
      <c r="E8" s="1">
        <v>141709</v>
      </c>
      <c r="F8" s="1">
        <v>174067</v>
      </c>
      <c r="G8" s="1">
        <v>241726</v>
      </c>
      <c r="H8" s="1">
        <v>303517</v>
      </c>
      <c r="I8" s="3">
        <v>0.25169438466864857</v>
      </c>
      <c r="J8" s="4" t="s">
        <v>95</v>
      </c>
      <c r="K8" s="4" t="s">
        <v>102</v>
      </c>
      <c r="L8" s="4" t="s">
        <v>110</v>
      </c>
    </row>
    <row r="9" spans="1:12" x14ac:dyDescent="0.3">
      <c r="A9" s="2" t="s">
        <v>11</v>
      </c>
      <c r="B9" s="1">
        <v>1563611</v>
      </c>
      <c r="C9" s="1">
        <v>336048</v>
      </c>
      <c r="D9" s="1">
        <v>649675</v>
      </c>
      <c r="E9" s="1">
        <v>147211</v>
      </c>
      <c r="F9" s="1">
        <v>180808</v>
      </c>
      <c r="G9" s="1">
        <v>249869</v>
      </c>
      <c r="H9" s="1">
        <v>357716</v>
      </c>
      <c r="I9" s="3">
        <v>0.29663942548895222</v>
      </c>
      <c r="J9" s="4" t="s">
        <v>96</v>
      </c>
      <c r="K9" s="4" t="s">
        <v>103</v>
      </c>
      <c r="L9" s="4" t="s">
        <v>111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9"/>
  <sheetViews>
    <sheetView tabSelected="1" workbookViewId="0"/>
  </sheetViews>
  <sheetFormatPr defaultRowHeight="14.4" x14ac:dyDescent="0.3"/>
  <cols>
    <col min="2" max="5" width="12.6640625" style="1" customWidth="1"/>
    <col min="6" max="8" width="12.6640625" style="3" customWidth="1"/>
  </cols>
  <sheetData>
    <row r="1" spans="1:8" x14ac:dyDescent="0.3">
      <c r="A1" s="2" t="s">
        <v>3</v>
      </c>
      <c r="B1" s="2" t="s">
        <v>12</v>
      </c>
      <c r="C1" s="2" t="s">
        <v>112</v>
      </c>
      <c r="D1" s="2" t="s">
        <v>113</v>
      </c>
      <c r="E1" s="2" t="s">
        <v>114</v>
      </c>
      <c r="F1" s="2" t="s">
        <v>115</v>
      </c>
      <c r="G1" s="2" t="s">
        <v>116</v>
      </c>
      <c r="H1" s="2" t="s">
        <v>117</v>
      </c>
    </row>
    <row r="2" spans="1:8" x14ac:dyDescent="0.3">
      <c r="A2" s="2" t="s">
        <v>4</v>
      </c>
      <c r="B2" s="1">
        <v>2251797</v>
      </c>
      <c r="C2" s="1">
        <v>525566</v>
      </c>
      <c r="D2" s="1">
        <v>1405320</v>
      </c>
      <c r="E2" s="1">
        <v>320911</v>
      </c>
      <c r="F2" s="3">
        <v>0.2333984813018225</v>
      </c>
      <c r="G2" s="3">
        <v>0.62408822820174292</v>
      </c>
      <c r="H2" s="3">
        <v>0.1425132904964346</v>
      </c>
    </row>
    <row r="3" spans="1:8" x14ac:dyDescent="0.3">
      <c r="A3" s="2" t="s">
        <v>5</v>
      </c>
      <c r="B3" s="1">
        <v>2261683</v>
      </c>
      <c r="C3" s="1">
        <v>528629</v>
      </c>
      <c r="D3" s="1">
        <v>1410666</v>
      </c>
      <c r="E3" s="1">
        <v>322388</v>
      </c>
      <c r="F3" s="3">
        <v>0.23373257879198811</v>
      </c>
      <c r="G3" s="3">
        <v>0.62372401437336711</v>
      </c>
      <c r="H3" s="3">
        <v>0.14254340683464481</v>
      </c>
    </row>
    <row r="4" spans="1:8" x14ac:dyDescent="0.3">
      <c r="A4" s="2" t="s">
        <v>6</v>
      </c>
      <c r="B4" s="1">
        <v>2384482</v>
      </c>
      <c r="C4" s="1">
        <v>551107</v>
      </c>
      <c r="D4" s="1">
        <v>1458153</v>
      </c>
      <c r="E4" s="1">
        <v>375222</v>
      </c>
      <c r="F4" s="3">
        <v>0.23112231503529909</v>
      </c>
      <c r="G4" s="3">
        <v>0.61151772166868945</v>
      </c>
      <c r="H4" s="3">
        <v>0.15735996329601151</v>
      </c>
    </row>
    <row r="5" spans="1:8" x14ac:dyDescent="0.3">
      <c r="A5" s="2" t="s">
        <v>7</v>
      </c>
      <c r="B5" s="1">
        <v>2505534</v>
      </c>
      <c r="C5" s="1">
        <v>574075</v>
      </c>
      <c r="D5" s="1">
        <v>1510311</v>
      </c>
      <c r="E5" s="1">
        <v>421148</v>
      </c>
      <c r="F5" s="3">
        <v>0.22912281373950619</v>
      </c>
      <c r="G5" s="3">
        <v>0.60279006391451884</v>
      </c>
      <c r="H5" s="3">
        <v>0.16808712234597489</v>
      </c>
    </row>
    <row r="6" spans="1:8" x14ac:dyDescent="0.3">
      <c r="A6" s="2" t="s">
        <v>8</v>
      </c>
      <c r="B6" s="1">
        <v>2654910</v>
      </c>
      <c r="C6" s="1">
        <v>601945</v>
      </c>
      <c r="D6" s="1">
        <v>1598533</v>
      </c>
      <c r="E6" s="1">
        <v>454432</v>
      </c>
      <c r="F6" s="3">
        <v>0.22672896633030881</v>
      </c>
      <c r="G6" s="3">
        <v>0.60210440278578181</v>
      </c>
      <c r="H6" s="3">
        <v>0.1711666308839094</v>
      </c>
    </row>
    <row r="7" spans="1:8" x14ac:dyDescent="0.3">
      <c r="A7" s="2" t="s">
        <v>9</v>
      </c>
      <c r="B7" s="1">
        <v>2771911</v>
      </c>
      <c r="C7" s="1">
        <v>626127</v>
      </c>
      <c r="D7" s="1">
        <v>1676019</v>
      </c>
      <c r="E7" s="1">
        <v>469765</v>
      </c>
      <c r="F7" s="3">
        <v>0.22588279349517351</v>
      </c>
      <c r="G7" s="3">
        <v>0.60464387204351078</v>
      </c>
      <c r="H7" s="3">
        <v>0.16947333446131571</v>
      </c>
    </row>
    <row r="8" spans="1:8" x14ac:dyDescent="0.3">
      <c r="A8" s="2" t="s">
        <v>10</v>
      </c>
      <c r="B8" s="1">
        <v>2872732</v>
      </c>
      <c r="C8" s="1">
        <v>643861</v>
      </c>
      <c r="D8" s="1">
        <v>1750921</v>
      </c>
      <c r="E8" s="1">
        <v>477950</v>
      </c>
      <c r="F8" s="3">
        <v>0.22412846029493869</v>
      </c>
      <c r="G8" s="3">
        <v>0.60949681348625628</v>
      </c>
      <c r="H8" s="3">
        <v>0.16637472621880489</v>
      </c>
    </row>
    <row r="9" spans="1:8" x14ac:dyDescent="0.3">
      <c r="A9" s="2" t="s">
        <v>11</v>
      </c>
      <c r="B9" s="1">
        <v>2973554</v>
      </c>
      <c r="C9" s="1">
        <v>663308</v>
      </c>
      <c r="D9" s="1">
        <v>1815902</v>
      </c>
      <c r="E9" s="1">
        <v>494344</v>
      </c>
      <c r="F9" s="3">
        <v>0.2230690950963056</v>
      </c>
      <c r="G9" s="3">
        <v>0.61068405012991189</v>
      </c>
      <c r="H9" s="3">
        <v>0.16624685477378251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Detailed population forecast</vt:lpstr>
      <vt:lpstr>Population</vt:lpstr>
      <vt:lpstr>Households</vt:lpstr>
      <vt:lpstr>Housing units</vt:lpstr>
      <vt:lpstr>Jobs</vt:lpstr>
      <vt:lpstr>Population by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Adam Porr</cp:lastModifiedBy>
  <dcterms:created xsi:type="dcterms:W3CDTF">2024-10-22T03:27:10Z</dcterms:created>
  <dcterms:modified xsi:type="dcterms:W3CDTF">2024-10-22T03:28:41Z</dcterms:modified>
</cp:coreProperties>
</file>