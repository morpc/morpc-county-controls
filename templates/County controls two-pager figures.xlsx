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https://morpc1-my.sharepoint.com/personal/aporr_morpc_org/Documents/2024-2050 population forecast summary two-pager/"/>
    </mc:Choice>
  </mc:AlternateContent>
  <xr:revisionPtr revIDLastSave="51" documentId="13_ncr:1_{FDB63031-8E61-47F9-BEB3-13D799FF31CE}" xr6:coauthVersionLast="47" xr6:coauthVersionMax="47" xr10:uidLastSave="{72A2C7F8-0E03-4598-9A92-0488617EFCC8}"/>
  <bookViews>
    <workbookView xWindow="-120" yWindow="-120" windowWidth="30960" windowHeight="15840" activeTab="2" xr2:uid="{F64F9374-0129-4F22-866A-EB0C57D391D3}"/>
  </bookViews>
  <sheets>
    <sheet name="Figures" sheetId="19" r:id="rId1"/>
    <sheet name="Population Chart Data" sheetId="16" r:id="rId2"/>
    <sheet name="Other chart data" sheetId="20" r:id="rId3"/>
    <sheet name="Total Population" sheetId="6" r:id="rId4"/>
    <sheet name="Households and Housing Units" sheetId="9" r:id="rId5"/>
    <sheet name="Residential Labor Force"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20" l="1"/>
  <c r="H2" i="20"/>
  <c r="F3" i="20"/>
  <c r="B4" i="20"/>
  <c r="B5" i="20" s="1"/>
  <c r="B2" i="20"/>
  <c r="E2" i="20" s="1"/>
  <c r="B3" i="20"/>
  <c r="E3" i="20" s="1"/>
  <c r="H65" i="16"/>
  <c r="H64" i="16"/>
  <c r="H63" i="16"/>
  <c r="Q62" i="16"/>
  <c r="P62" i="16"/>
  <c r="O62" i="16"/>
  <c r="D3" i="20"/>
  <c r="D2" i="20"/>
  <c r="G2" i="20" s="1"/>
  <c r="C3" i="20"/>
  <c r="C4" i="20" s="1"/>
  <c r="C5" i="20" s="1"/>
  <c r="C2" i="20"/>
  <c r="F2" i="20" s="1"/>
  <c r="I2" i="20" s="1"/>
  <c r="N65" i="16"/>
  <c r="M65" i="16"/>
  <c r="L65" i="16"/>
  <c r="K65" i="16"/>
  <c r="J65" i="16"/>
  <c r="I65" i="16"/>
  <c r="N61" i="16"/>
  <c r="M61" i="16"/>
  <c r="L61" i="16"/>
  <c r="K61" i="16"/>
  <c r="J61" i="16"/>
  <c r="I61" i="16"/>
  <c r="N57" i="16"/>
  <c r="M57" i="16"/>
  <c r="L57" i="16"/>
  <c r="K57" i="16"/>
  <c r="J57" i="16"/>
  <c r="I57" i="16"/>
  <c r="N53" i="16"/>
  <c r="M53" i="16"/>
  <c r="L53" i="16"/>
  <c r="K53" i="16"/>
  <c r="J53" i="16"/>
  <c r="I53" i="16"/>
  <c r="N49" i="16"/>
  <c r="M49" i="16"/>
  <c r="L49" i="16"/>
  <c r="K49" i="16"/>
  <c r="J49" i="16"/>
  <c r="I49" i="16"/>
  <c r="N45" i="16"/>
  <c r="M45" i="16"/>
  <c r="L45" i="16"/>
  <c r="K45" i="16"/>
  <c r="J45" i="16"/>
  <c r="I45" i="16"/>
  <c r="N41" i="16"/>
  <c r="M41" i="16"/>
  <c r="L41" i="16"/>
  <c r="K41" i="16"/>
  <c r="J41" i="16"/>
  <c r="I41" i="16"/>
  <c r="N37" i="16"/>
  <c r="M37" i="16"/>
  <c r="L37" i="16"/>
  <c r="K37" i="16"/>
  <c r="J37" i="16"/>
  <c r="I37" i="16"/>
  <c r="N33" i="16"/>
  <c r="M33" i="16"/>
  <c r="L33" i="16"/>
  <c r="K33" i="16"/>
  <c r="J33" i="16"/>
  <c r="I33" i="16"/>
  <c r="N29" i="16"/>
  <c r="M29" i="16"/>
  <c r="L29" i="16"/>
  <c r="K29" i="16"/>
  <c r="J29" i="16"/>
  <c r="I29" i="16"/>
  <c r="N25" i="16"/>
  <c r="M25" i="16"/>
  <c r="L25" i="16"/>
  <c r="K25" i="16"/>
  <c r="J25" i="16"/>
  <c r="I25" i="16"/>
  <c r="N21" i="16"/>
  <c r="M21" i="16"/>
  <c r="L21" i="16"/>
  <c r="K21" i="16"/>
  <c r="J21" i="16"/>
  <c r="I21" i="16"/>
  <c r="N17" i="16"/>
  <c r="M17" i="16"/>
  <c r="L17" i="16"/>
  <c r="K17" i="16"/>
  <c r="J17" i="16"/>
  <c r="I17" i="16"/>
  <c r="N13" i="16"/>
  <c r="M13" i="16"/>
  <c r="L13" i="16"/>
  <c r="K13" i="16"/>
  <c r="J13" i="16"/>
  <c r="I13" i="16"/>
  <c r="N9" i="16"/>
  <c r="M9" i="16"/>
  <c r="L9" i="16"/>
  <c r="K9" i="16"/>
  <c r="J9" i="16"/>
  <c r="I9" i="16"/>
  <c r="N64" i="16"/>
  <c r="M64" i="16"/>
  <c r="L64" i="16"/>
  <c r="K64" i="16"/>
  <c r="J64" i="16"/>
  <c r="I64" i="16"/>
  <c r="N60" i="16"/>
  <c r="M60" i="16"/>
  <c r="L60" i="16"/>
  <c r="K60" i="16"/>
  <c r="J60" i="16"/>
  <c r="I60" i="16"/>
  <c r="N56" i="16"/>
  <c r="M56" i="16"/>
  <c r="L56" i="16"/>
  <c r="K56" i="16"/>
  <c r="J56" i="16"/>
  <c r="I56" i="16"/>
  <c r="N52" i="16"/>
  <c r="M52" i="16"/>
  <c r="L52" i="16"/>
  <c r="K52" i="16"/>
  <c r="J52" i="16"/>
  <c r="I52" i="16"/>
  <c r="N48" i="16"/>
  <c r="M48" i="16"/>
  <c r="L48" i="16"/>
  <c r="K48" i="16"/>
  <c r="J48" i="16"/>
  <c r="I48" i="16"/>
  <c r="N44" i="16"/>
  <c r="M44" i="16"/>
  <c r="L44" i="16"/>
  <c r="K44" i="16"/>
  <c r="J44" i="16"/>
  <c r="I44" i="16"/>
  <c r="N40" i="16"/>
  <c r="M40" i="16"/>
  <c r="L40" i="16"/>
  <c r="K40" i="16"/>
  <c r="J40" i="16"/>
  <c r="I40" i="16"/>
  <c r="N36" i="16"/>
  <c r="M36" i="16"/>
  <c r="L36" i="16"/>
  <c r="K36" i="16"/>
  <c r="J36" i="16"/>
  <c r="I36" i="16"/>
  <c r="N32" i="16"/>
  <c r="M32" i="16"/>
  <c r="L32" i="16"/>
  <c r="K32" i="16"/>
  <c r="J32" i="16"/>
  <c r="I32" i="16"/>
  <c r="N28" i="16"/>
  <c r="M28" i="16"/>
  <c r="L28" i="16"/>
  <c r="K28" i="16"/>
  <c r="J28" i="16"/>
  <c r="I28" i="16"/>
  <c r="N24" i="16"/>
  <c r="M24" i="16"/>
  <c r="L24" i="16"/>
  <c r="K24" i="16"/>
  <c r="J24" i="16"/>
  <c r="I24" i="16"/>
  <c r="N20" i="16"/>
  <c r="M20" i="16"/>
  <c r="L20" i="16"/>
  <c r="K20" i="16"/>
  <c r="J20" i="16"/>
  <c r="I20" i="16"/>
  <c r="N16" i="16"/>
  <c r="M16" i="16"/>
  <c r="L16" i="16"/>
  <c r="K16" i="16"/>
  <c r="J16" i="16"/>
  <c r="I16" i="16"/>
  <c r="N12" i="16"/>
  <c r="M12" i="16"/>
  <c r="L12" i="16"/>
  <c r="K12" i="16"/>
  <c r="J12" i="16"/>
  <c r="I12" i="16"/>
  <c r="N8" i="16"/>
  <c r="M8" i="16"/>
  <c r="L8" i="16"/>
  <c r="K8" i="16"/>
  <c r="J8" i="16"/>
  <c r="I8" i="16"/>
  <c r="N63" i="16"/>
  <c r="M63" i="16"/>
  <c r="L63" i="16"/>
  <c r="K63" i="16"/>
  <c r="J63" i="16"/>
  <c r="I63" i="16"/>
  <c r="N59" i="16"/>
  <c r="M59" i="16"/>
  <c r="L59" i="16"/>
  <c r="K59" i="16"/>
  <c r="J59" i="16"/>
  <c r="I59" i="16"/>
  <c r="N55" i="16"/>
  <c r="M55" i="16"/>
  <c r="L55" i="16"/>
  <c r="K55" i="16"/>
  <c r="J55" i="16"/>
  <c r="I55" i="16"/>
  <c r="N51" i="16"/>
  <c r="M51" i="16"/>
  <c r="L51" i="16"/>
  <c r="K51" i="16"/>
  <c r="J51" i="16"/>
  <c r="I51" i="16"/>
  <c r="N47" i="16"/>
  <c r="M47" i="16"/>
  <c r="L47" i="16"/>
  <c r="K47" i="16"/>
  <c r="J47" i="16"/>
  <c r="I47" i="16"/>
  <c r="N43" i="16"/>
  <c r="M43" i="16"/>
  <c r="L43" i="16"/>
  <c r="K43" i="16"/>
  <c r="J43" i="16"/>
  <c r="I43" i="16"/>
  <c r="N39" i="16"/>
  <c r="M39" i="16"/>
  <c r="L39" i="16"/>
  <c r="K39" i="16"/>
  <c r="J39" i="16"/>
  <c r="I39" i="16"/>
  <c r="N35" i="16"/>
  <c r="M35" i="16"/>
  <c r="L35" i="16"/>
  <c r="K35" i="16"/>
  <c r="J35" i="16"/>
  <c r="I35" i="16"/>
  <c r="N31" i="16"/>
  <c r="M31" i="16"/>
  <c r="L31" i="16"/>
  <c r="K31" i="16"/>
  <c r="J31" i="16"/>
  <c r="I31" i="16"/>
  <c r="N27" i="16"/>
  <c r="M27" i="16"/>
  <c r="L27" i="16"/>
  <c r="K27" i="16"/>
  <c r="J27" i="16"/>
  <c r="I27" i="16"/>
  <c r="N23" i="16"/>
  <c r="M23" i="16"/>
  <c r="L23" i="16"/>
  <c r="K23" i="16"/>
  <c r="J23" i="16"/>
  <c r="I23" i="16"/>
  <c r="N19" i="16"/>
  <c r="M19" i="16"/>
  <c r="L19" i="16"/>
  <c r="K19" i="16"/>
  <c r="J19" i="16"/>
  <c r="I19" i="16"/>
  <c r="N15" i="16"/>
  <c r="M15" i="16"/>
  <c r="L15" i="16"/>
  <c r="K15" i="16"/>
  <c r="J15" i="16"/>
  <c r="I15" i="16"/>
  <c r="N11" i="16"/>
  <c r="M11" i="16"/>
  <c r="L11" i="16"/>
  <c r="K11" i="16"/>
  <c r="J11" i="16"/>
  <c r="I11" i="16"/>
  <c r="N7" i="16"/>
  <c r="M7" i="16"/>
  <c r="L7" i="16"/>
  <c r="K7" i="16"/>
  <c r="J7" i="16"/>
  <c r="I7" i="16"/>
  <c r="H62" i="16"/>
  <c r="G62" i="16"/>
  <c r="F62" i="16"/>
  <c r="E62" i="16"/>
  <c r="D62" i="16"/>
  <c r="C62" i="16"/>
  <c r="H58" i="16"/>
  <c r="G58" i="16"/>
  <c r="F58" i="16"/>
  <c r="E58" i="16"/>
  <c r="D58" i="16"/>
  <c r="C58" i="16"/>
  <c r="H54" i="16"/>
  <c r="G54" i="16"/>
  <c r="F54" i="16"/>
  <c r="E54" i="16"/>
  <c r="D54" i="16"/>
  <c r="C54" i="16"/>
  <c r="H50" i="16"/>
  <c r="G50" i="16"/>
  <c r="F50" i="16"/>
  <c r="E50" i="16"/>
  <c r="D50" i="16"/>
  <c r="C50" i="16"/>
  <c r="H46" i="16"/>
  <c r="G46" i="16"/>
  <c r="F46" i="16"/>
  <c r="E46" i="16"/>
  <c r="D46" i="16"/>
  <c r="C46" i="16"/>
  <c r="H42" i="16"/>
  <c r="G42" i="16"/>
  <c r="F42" i="16"/>
  <c r="E42" i="16"/>
  <c r="D42" i="16"/>
  <c r="C42" i="16"/>
  <c r="H38" i="16"/>
  <c r="G38" i="16"/>
  <c r="F38" i="16"/>
  <c r="E38" i="16"/>
  <c r="D38" i="16"/>
  <c r="C38" i="16"/>
  <c r="H34" i="16"/>
  <c r="G34" i="16"/>
  <c r="F34" i="16"/>
  <c r="E34" i="16"/>
  <c r="D34" i="16"/>
  <c r="C34" i="16"/>
  <c r="H30" i="16"/>
  <c r="G30" i="16"/>
  <c r="F30" i="16"/>
  <c r="E30" i="16"/>
  <c r="D30" i="16"/>
  <c r="C30" i="16"/>
  <c r="H26" i="16"/>
  <c r="G26" i="16"/>
  <c r="F26" i="16"/>
  <c r="E26" i="16"/>
  <c r="D26" i="16"/>
  <c r="C26" i="16"/>
  <c r="H22" i="16"/>
  <c r="G22" i="16"/>
  <c r="F22" i="16"/>
  <c r="E22" i="16"/>
  <c r="D22" i="16"/>
  <c r="C22" i="16"/>
  <c r="H18" i="16"/>
  <c r="G18" i="16"/>
  <c r="F18" i="16"/>
  <c r="E18" i="16"/>
  <c r="D18" i="16"/>
  <c r="C18" i="16"/>
  <c r="H14" i="16"/>
  <c r="G14" i="16"/>
  <c r="F14" i="16"/>
  <c r="E14" i="16"/>
  <c r="D14" i="16"/>
  <c r="C14" i="16"/>
  <c r="H10" i="16"/>
  <c r="G10" i="16"/>
  <c r="F10" i="16"/>
  <c r="E10" i="16"/>
  <c r="D10" i="16"/>
  <c r="C10" i="16"/>
  <c r="H6" i="16"/>
  <c r="G6" i="16"/>
  <c r="F6" i="16"/>
  <c r="E6" i="16"/>
  <c r="D6" i="16"/>
  <c r="C6" i="16"/>
  <c r="N5" i="16"/>
  <c r="M5" i="16"/>
  <c r="L5" i="16"/>
  <c r="K5" i="16"/>
  <c r="J5" i="16"/>
  <c r="I5" i="16"/>
  <c r="N4" i="16"/>
  <c r="M4" i="16"/>
  <c r="L4" i="16"/>
  <c r="K4" i="16"/>
  <c r="J4" i="16"/>
  <c r="I4" i="16"/>
  <c r="N3" i="16"/>
  <c r="M3" i="16"/>
  <c r="L3" i="16"/>
  <c r="K3" i="16"/>
  <c r="J3" i="16"/>
  <c r="I3" i="16"/>
  <c r="H2" i="16"/>
  <c r="G2" i="16"/>
  <c r="F2" i="16"/>
  <c r="E2" i="16"/>
  <c r="D2" i="16"/>
  <c r="C2" i="16"/>
  <c r="AS20" i="6"/>
  <c r="AS19" i="6"/>
  <c r="AS18" i="6"/>
  <c r="AS17" i="6"/>
  <c r="AS16" i="6"/>
  <c r="AS15" i="6"/>
  <c r="AS14" i="6"/>
  <c r="AS13" i="6"/>
  <c r="AS12" i="6"/>
  <c r="AS11" i="6"/>
  <c r="AS10" i="6"/>
  <c r="AS9" i="6"/>
  <c r="AS8" i="6"/>
  <c r="AS7" i="6"/>
  <c r="AS6" i="6"/>
  <c r="AS5" i="6"/>
  <c r="AR20" i="6"/>
  <c r="AQ20" i="6"/>
  <c r="AQ19" i="6"/>
  <c r="AR19" i="6" s="1"/>
  <c r="AR18" i="6"/>
  <c r="AQ18" i="6"/>
  <c r="AQ17" i="6"/>
  <c r="AR17" i="6" s="1"/>
  <c r="AR16" i="6"/>
  <c r="AQ16" i="6"/>
  <c r="AQ15" i="6"/>
  <c r="AR15" i="6" s="1"/>
  <c r="AQ14" i="6"/>
  <c r="AR14" i="6" s="1"/>
  <c r="AQ13" i="6"/>
  <c r="AR13" i="6" s="1"/>
  <c r="AR12" i="6"/>
  <c r="AQ12" i="6"/>
  <c r="AQ11" i="6"/>
  <c r="AR11" i="6" s="1"/>
  <c r="AR10" i="6"/>
  <c r="AQ10" i="6"/>
  <c r="AQ9" i="6"/>
  <c r="AR9" i="6" s="1"/>
  <c r="AR8" i="6"/>
  <c r="AQ8" i="6"/>
  <c r="AQ7" i="6"/>
  <c r="AR7" i="6" s="1"/>
  <c r="AR6" i="6"/>
  <c r="AQ6" i="6"/>
  <c r="AR5" i="6"/>
  <c r="AQ5" i="6"/>
  <c r="AM7" i="6"/>
  <c r="AO20" i="6"/>
  <c r="AM20" i="6"/>
  <c r="AN20" i="6" s="1"/>
  <c r="AO19" i="6"/>
  <c r="AN19" i="6"/>
  <c r="AM19" i="6"/>
  <c r="AO18" i="6"/>
  <c r="AN18" i="6"/>
  <c r="AM18" i="6"/>
  <c r="AO17" i="6"/>
  <c r="AM17" i="6"/>
  <c r="AN17" i="6" s="1"/>
  <c r="AO16" i="6"/>
  <c r="AM16" i="6"/>
  <c r="AN16" i="6" s="1"/>
  <c r="AO15" i="6"/>
  <c r="AN15" i="6"/>
  <c r="AM15" i="6"/>
  <c r="AO14" i="6"/>
  <c r="AM14" i="6"/>
  <c r="AN14" i="6" s="1"/>
  <c r="AO13" i="6"/>
  <c r="AM13" i="6"/>
  <c r="AN13" i="6" s="1"/>
  <c r="AO12" i="6"/>
  <c r="AM12" i="6"/>
  <c r="AN12" i="6" s="1"/>
  <c r="AO11" i="6"/>
  <c r="AN11" i="6"/>
  <c r="AM11" i="6"/>
  <c r="AO10" i="6"/>
  <c r="AN10" i="6"/>
  <c r="AM10" i="6"/>
  <c r="AO9" i="6"/>
  <c r="AM9" i="6"/>
  <c r="AN9" i="6" s="1"/>
  <c r="AO8" i="6"/>
  <c r="AM8" i="6"/>
  <c r="AN8" i="6" s="1"/>
  <c r="AO7" i="6"/>
  <c r="AN7" i="6"/>
  <c r="AO6" i="6"/>
  <c r="AM6" i="6"/>
  <c r="AN6" i="6" s="1"/>
  <c r="AO5" i="6"/>
  <c r="AN5" i="6"/>
  <c r="AM5" i="6"/>
  <c r="E4" i="20" l="1"/>
  <c r="E5" i="20" s="1"/>
  <c r="D4" i="20"/>
  <c r="D5" i="20" s="1"/>
  <c r="F4" i="20"/>
  <c r="G3" i="20"/>
  <c r="G4" i="20" s="1"/>
  <c r="J2" i="20"/>
  <c r="AH20" i="6"/>
  <c r="AI20" i="6"/>
  <c r="AC20" i="6"/>
  <c r="AD20" i="6"/>
  <c r="X20" i="6"/>
  <c r="Y20" i="6"/>
  <c r="S20" i="6"/>
  <c r="T20" i="6"/>
  <c r="N20" i="6"/>
  <c r="O20" i="6"/>
  <c r="I20" i="6"/>
  <c r="J20" i="6"/>
  <c r="B20" i="6"/>
  <c r="C20" i="6"/>
  <c r="D20" i="6"/>
  <c r="E20" i="6"/>
  <c r="F20" i="6"/>
  <c r="G20" i="6"/>
  <c r="H20" i="6"/>
  <c r="P5" i="6"/>
  <c r="P6" i="6"/>
  <c r="Q7" i="6"/>
  <c r="Q8" i="6"/>
  <c r="Q9" i="6"/>
  <c r="P10" i="6"/>
  <c r="P11" i="6"/>
  <c r="P12" i="6"/>
  <c r="P13" i="6"/>
  <c r="Q14" i="6"/>
  <c r="P15" i="6"/>
  <c r="P16" i="6"/>
  <c r="Q17" i="6"/>
  <c r="P18" i="6"/>
  <c r="P19" i="6"/>
  <c r="K5" i="6"/>
  <c r="L5" i="6"/>
  <c r="K6" i="6"/>
  <c r="L6" i="6"/>
  <c r="K7" i="6"/>
  <c r="L7" i="6"/>
  <c r="K8" i="6"/>
  <c r="L8" i="6"/>
  <c r="K9" i="6"/>
  <c r="L9" i="6"/>
  <c r="K10" i="6"/>
  <c r="L10" i="6"/>
  <c r="K11" i="6"/>
  <c r="L11" i="6"/>
  <c r="K12" i="6"/>
  <c r="L12" i="6"/>
  <c r="K13" i="6"/>
  <c r="L13" i="6"/>
  <c r="K14" i="6"/>
  <c r="L14" i="6"/>
  <c r="K15" i="6"/>
  <c r="L15" i="6"/>
  <c r="K16" i="6"/>
  <c r="L16" i="6"/>
  <c r="K17" i="6"/>
  <c r="L17" i="6"/>
  <c r="K18" i="6"/>
  <c r="L18" i="6"/>
  <c r="K19" i="6"/>
  <c r="L19" i="6"/>
  <c r="G5" i="20" l="1"/>
  <c r="J4" i="20" s="1"/>
  <c r="F5" i="20"/>
  <c r="I4" i="20"/>
  <c r="Q15" i="6"/>
  <c r="P7" i="6"/>
  <c r="Q19" i="6"/>
  <c r="M20" i="6"/>
  <c r="P20" i="6" s="1"/>
  <c r="P8" i="6"/>
  <c r="P14" i="6"/>
  <c r="Q6" i="6"/>
  <c r="L20" i="6"/>
  <c r="K20" i="6"/>
  <c r="P17" i="6"/>
  <c r="P9" i="6"/>
  <c r="Q16" i="6"/>
  <c r="Q11" i="6"/>
  <c r="Q12" i="6"/>
  <c r="Q13" i="6"/>
  <c r="Q5" i="6"/>
  <c r="Q18" i="6"/>
  <c r="Q10" i="6"/>
  <c r="Q20" i="6" l="1"/>
  <c r="O6" i="9" l="1"/>
  <c r="AA10" i="6" l="1"/>
  <c r="Z10" i="6"/>
  <c r="AF9" i="6"/>
  <c r="AE9" i="6"/>
  <c r="AJ16" i="6"/>
  <c r="AK16" i="6"/>
  <c r="AJ8" i="6"/>
  <c r="AK8" i="6"/>
  <c r="U18" i="6"/>
  <c r="V18" i="6"/>
  <c r="V10" i="6"/>
  <c r="U10" i="6"/>
  <c r="Z17" i="6"/>
  <c r="AA17" i="6"/>
  <c r="Z9" i="6"/>
  <c r="AA9" i="6"/>
  <c r="AE16" i="6"/>
  <c r="AF16" i="6"/>
  <c r="AE8" i="6"/>
  <c r="AF8" i="6"/>
  <c r="AJ15" i="6"/>
  <c r="AK15" i="6"/>
  <c r="AJ7" i="6"/>
  <c r="AK7" i="6"/>
  <c r="Z8" i="6"/>
  <c r="AA8" i="6"/>
  <c r="V16" i="6"/>
  <c r="U16" i="6"/>
  <c r="V8" i="6"/>
  <c r="U8" i="6"/>
  <c r="Z15" i="6"/>
  <c r="AA15" i="6"/>
  <c r="Z7" i="6"/>
  <c r="AA7" i="6"/>
  <c r="AE14" i="6"/>
  <c r="AF14" i="6"/>
  <c r="AE6" i="6"/>
  <c r="AF6" i="6"/>
  <c r="AJ13" i="6"/>
  <c r="AK13" i="6"/>
  <c r="AE15" i="6"/>
  <c r="AF15" i="6"/>
  <c r="V15" i="6"/>
  <c r="U15" i="6"/>
  <c r="U7" i="6"/>
  <c r="V7" i="6"/>
  <c r="AA14" i="6"/>
  <c r="Z14" i="6"/>
  <c r="Z6" i="6"/>
  <c r="AA6" i="6"/>
  <c r="AF13" i="6"/>
  <c r="AE13" i="6"/>
  <c r="AG20" i="6"/>
  <c r="AJ5" i="6"/>
  <c r="AK5" i="6"/>
  <c r="AJ12" i="6"/>
  <c r="AK12" i="6"/>
  <c r="V11" i="6"/>
  <c r="U11" i="6"/>
  <c r="Z16" i="6"/>
  <c r="AA16" i="6"/>
  <c r="AJ14" i="6"/>
  <c r="AK14" i="6"/>
  <c r="U14" i="6"/>
  <c r="V14" i="6"/>
  <c r="U6" i="6"/>
  <c r="V6" i="6"/>
  <c r="Z13" i="6"/>
  <c r="AA13" i="6"/>
  <c r="AE5" i="6"/>
  <c r="AB20" i="6"/>
  <c r="AF5" i="6"/>
  <c r="AE12" i="6"/>
  <c r="AF12" i="6"/>
  <c r="AJ19" i="6"/>
  <c r="AK19" i="6"/>
  <c r="AK11" i="6"/>
  <c r="AJ11" i="6"/>
  <c r="AA18" i="6"/>
  <c r="Z18" i="6"/>
  <c r="U17" i="6"/>
  <c r="V17" i="6"/>
  <c r="AE7" i="6"/>
  <c r="AF7" i="6"/>
  <c r="U13" i="6"/>
  <c r="V13" i="6"/>
  <c r="W20" i="6"/>
  <c r="AA5" i="6"/>
  <c r="Z5" i="6"/>
  <c r="Z12" i="6"/>
  <c r="AA12" i="6"/>
  <c r="AE19" i="6"/>
  <c r="AF19" i="6"/>
  <c r="AE11" i="6"/>
  <c r="AF11" i="6"/>
  <c r="AJ18" i="6"/>
  <c r="AK18" i="6"/>
  <c r="AJ10" i="6"/>
  <c r="AK10" i="6"/>
  <c r="V19" i="6"/>
  <c r="U19" i="6"/>
  <c r="AF17" i="6"/>
  <c r="AE17" i="6"/>
  <c r="U9" i="6"/>
  <c r="V9" i="6"/>
  <c r="AJ6" i="6"/>
  <c r="AK6" i="6"/>
  <c r="U5" i="6"/>
  <c r="V5" i="6"/>
  <c r="R20" i="6"/>
  <c r="U12" i="6"/>
  <c r="V12" i="6"/>
  <c r="Z19" i="6"/>
  <c r="AA19" i="6"/>
  <c r="Z11" i="6"/>
  <c r="AA11" i="6"/>
  <c r="AE18" i="6"/>
  <c r="AF18" i="6"/>
  <c r="AE10" i="6"/>
  <c r="AF10" i="6"/>
  <c r="AJ17" i="6"/>
  <c r="AK17" i="6"/>
  <c r="AJ9" i="6"/>
  <c r="AK9" i="6"/>
  <c r="AA20" i="6" l="1"/>
  <c r="Z20" i="6"/>
  <c r="AF20" i="6"/>
  <c r="AE20" i="6"/>
  <c r="U20" i="6"/>
  <c r="V20" i="6"/>
  <c r="AJ20" i="6"/>
  <c r="AK20" i="6"/>
  <c r="L25" i="9" l="1"/>
  <c r="M25" i="9"/>
  <c r="N25" i="9"/>
  <c r="O25" i="9"/>
  <c r="L26" i="9"/>
  <c r="M26" i="9"/>
  <c r="O26" i="9"/>
  <c r="P26" i="9"/>
  <c r="Q26" i="9"/>
  <c r="M27" i="9"/>
  <c r="N27" i="9"/>
  <c r="O27" i="9"/>
  <c r="P27" i="9"/>
  <c r="Q27" i="9"/>
  <c r="R27" i="9"/>
  <c r="N28" i="9"/>
  <c r="O28" i="9"/>
  <c r="P28" i="9"/>
  <c r="Q28" i="9"/>
  <c r="R28" i="9"/>
  <c r="L29" i="9"/>
  <c r="O29" i="9"/>
  <c r="P29" i="9"/>
  <c r="Q29" i="9"/>
  <c r="R29" i="9"/>
  <c r="L30" i="9"/>
  <c r="M30" i="9"/>
  <c r="O30" i="9"/>
  <c r="P30" i="9"/>
  <c r="Q30" i="9"/>
  <c r="R30" i="9"/>
  <c r="L31" i="9"/>
  <c r="M31" i="9"/>
  <c r="N31" i="9"/>
  <c r="P31" i="9"/>
  <c r="Q31" i="9"/>
  <c r="R31" i="9"/>
  <c r="L32" i="9"/>
  <c r="N32" i="9"/>
  <c r="O32" i="9"/>
  <c r="Q32" i="9"/>
  <c r="R32" i="9"/>
  <c r="L33" i="9"/>
  <c r="M33" i="9"/>
  <c r="N33" i="9"/>
  <c r="O33" i="9"/>
  <c r="P33" i="9"/>
  <c r="Q33" i="9"/>
  <c r="R33" i="9"/>
  <c r="L34" i="9"/>
  <c r="M34" i="9"/>
  <c r="N34" i="9"/>
  <c r="O34" i="9"/>
  <c r="P34" i="9"/>
  <c r="Q34" i="9"/>
  <c r="M35" i="9"/>
  <c r="N35" i="9"/>
  <c r="O35" i="9"/>
  <c r="P35" i="9"/>
  <c r="Q35" i="9"/>
  <c r="R35" i="9"/>
  <c r="M36" i="9"/>
  <c r="N36" i="9"/>
  <c r="O36" i="9"/>
  <c r="P36" i="9"/>
  <c r="R36" i="9"/>
  <c r="L37" i="9"/>
  <c r="O37" i="9"/>
  <c r="P37" i="9"/>
  <c r="Q37" i="9"/>
  <c r="R37" i="9"/>
  <c r="L38" i="9"/>
  <c r="M38" i="9"/>
  <c r="O38" i="9"/>
  <c r="P38" i="9"/>
  <c r="Q38" i="9"/>
  <c r="R38" i="9"/>
  <c r="L39" i="9"/>
  <c r="M39" i="9"/>
  <c r="N39" i="9"/>
  <c r="Q39" i="9"/>
  <c r="R39" i="9"/>
  <c r="O39" i="9" l="1"/>
  <c r="N38" i="9"/>
  <c r="M37" i="9"/>
  <c r="L36" i="9"/>
  <c r="R34" i="9"/>
  <c r="P32" i="9"/>
  <c r="O31" i="9"/>
  <c r="N30" i="9"/>
  <c r="M29" i="9"/>
  <c r="L28" i="9"/>
  <c r="R26" i="9"/>
  <c r="Q25" i="9"/>
  <c r="P39" i="9"/>
  <c r="N37" i="9"/>
  <c r="L35" i="9"/>
  <c r="M28" i="9"/>
  <c r="R25" i="9"/>
  <c r="Q36" i="9"/>
  <c r="M32" i="9"/>
  <c r="C40" i="9"/>
  <c r="G20" i="9"/>
  <c r="B40" i="9"/>
  <c r="H20" i="9"/>
  <c r="C20" i="9"/>
  <c r="G40" i="9"/>
  <c r="D40" i="9"/>
  <c r="N26" i="9"/>
  <c r="D20" i="9"/>
  <c r="H40" i="9"/>
  <c r="F40" i="9"/>
  <c r="N29" i="9"/>
  <c r="L27" i="9"/>
  <c r="E40" i="9"/>
  <c r="F20" i="9"/>
  <c r="B20" i="9"/>
  <c r="P25" i="9"/>
  <c r="E20" i="9"/>
  <c r="P40" i="9" l="1"/>
  <c r="M40" i="9"/>
  <c r="O40" i="9"/>
  <c r="Q40" i="9"/>
  <c r="L40" i="9"/>
  <c r="R40" i="9"/>
  <c r="N40" i="9"/>
  <c r="O17" i="8" l="1"/>
  <c r="R18" i="8"/>
  <c r="Q16" i="8"/>
  <c r="O16" i="8"/>
  <c r="P16" i="8"/>
  <c r="R15" i="8"/>
  <c r="N14" i="8"/>
  <c r="O14" i="8"/>
  <c r="P33" i="8"/>
  <c r="P13" i="8"/>
  <c r="M13" i="8"/>
  <c r="N13" i="8"/>
  <c r="O13" i="8"/>
  <c r="O32" i="8"/>
  <c r="O12" i="8"/>
  <c r="M12" i="8"/>
  <c r="N11" i="8"/>
  <c r="M11" i="8"/>
  <c r="O11" i="8"/>
  <c r="L11" i="8"/>
  <c r="R10" i="8"/>
  <c r="P10" i="8"/>
  <c r="N10" i="8"/>
  <c r="Q10" i="8"/>
  <c r="M10" i="8"/>
  <c r="O9" i="8"/>
  <c r="Q9" i="8"/>
  <c r="P9" i="8"/>
  <c r="L9" i="8"/>
  <c r="N9" i="8"/>
  <c r="M8" i="8"/>
  <c r="O8" i="8"/>
  <c r="Q8" i="8"/>
  <c r="R8" i="8"/>
  <c r="N8" i="8"/>
  <c r="P8" i="8"/>
  <c r="L7" i="8"/>
  <c r="Q7" i="8"/>
  <c r="P7" i="8"/>
  <c r="M7" i="8"/>
  <c r="O7" i="8"/>
  <c r="N6" i="8"/>
  <c r="P6" i="8"/>
  <c r="R6" i="8"/>
  <c r="Q6" i="8"/>
  <c r="M33" i="8" l="1"/>
  <c r="P36" i="8"/>
  <c r="L29" i="8"/>
  <c r="N26" i="8"/>
  <c r="R28" i="8"/>
  <c r="N29" i="8"/>
  <c r="P30" i="8"/>
  <c r="M31" i="8"/>
  <c r="M32" i="8"/>
  <c r="N33" i="8"/>
  <c r="N34" i="8"/>
  <c r="P27" i="8"/>
  <c r="M30" i="8"/>
  <c r="L31" i="8"/>
  <c r="Q30" i="8"/>
  <c r="R38" i="8"/>
  <c r="O33" i="8"/>
  <c r="O31" i="8"/>
  <c r="O34" i="8"/>
  <c r="N31" i="8"/>
  <c r="M27" i="8"/>
  <c r="L27" i="8"/>
  <c r="N28" i="8"/>
  <c r="R5" i="8"/>
  <c r="R35" i="8"/>
  <c r="Q26" i="8"/>
  <c r="O27" i="8"/>
  <c r="M28" i="8"/>
  <c r="O29" i="8"/>
  <c r="N7" i="8"/>
  <c r="Q28" i="8"/>
  <c r="Q29" i="8"/>
  <c r="O37" i="8"/>
  <c r="O6" i="8"/>
  <c r="N30" i="8"/>
  <c r="M6" i="8"/>
  <c r="Q27" i="8"/>
  <c r="P28" i="8"/>
  <c r="P29" i="8"/>
  <c r="L10" i="8"/>
  <c r="Q36" i="8"/>
  <c r="O36" i="8"/>
  <c r="P26" i="8"/>
  <c r="O28" i="8"/>
  <c r="P11" i="8"/>
  <c r="O15" i="8"/>
  <c r="L17" i="8"/>
  <c r="M9" i="8"/>
  <c r="R7" i="8"/>
  <c r="L8" i="8"/>
  <c r="L37" i="8"/>
  <c r="R9" i="8"/>
  <c r="R13" i="8"/>
  <c r="L13" i="8"/>
  <c r="L6" i="8"/>
  <c r="O10" i="8"/>
  <c r="N12" i="8"/>
  <c r="R33" i="8"/>
  <c r="L33" i="8"/>
  <c r="Q14" i="8"/>
  <c r="R11" i="8"/>
  <c r="O18" i="8"/>
  <c r="Q17" i="8"/>
  <c r="M19" i="8"/>
  <c r="R19" i="8"/>
  <c r="L18" i="8"/>
  <c r="P14" i="8"/>
  <c r="R16" i="8"/>
  <c r="Q12" i="8"/>
  <c r="O19" i="8"/>
  <c r="L16" i="8"/>
  <c r="N18" i="8"/>
  <c r="R17" i="8"/>
  <c r="Q18" i="8"/>
  <c r="M29" i="8" l="1"/>
  <c r="R39" i="8"/>
  <c r="M26" i="8"/>
  <c r="N27" i="8"/>
  <c r="R37" i="8"/>
  <c r="M39" i="8"/>
  <c r="L30" i="8"/>
  <c r="L28" i="8"/>
  <c r="O26" i="8"/>
  <c r="R25" i="8"/>
  <c r="P5" i="8"/>
  <c r="O39" i="8"/>
  <c r="Q32" i="8"/>
  <c r="Q34" i="8"/>
  <c r="R27" i="8"/>
  <c r="Q38" i="8"/>
  <c r="P34" i="8"/>
  <c r="Q37" i="8"/>
  <c r="M5" i="8"/>
  <c r="P12" i="8"/>
  <c r="R29" i="8"/>
  <c r="P18" i="8"/>
  <c r="P31" i="8"/>
  <c r="N16" i="8"/>
  <c r="Q5" i="8"/>
  <c r="M15" i="8"/>
  <c r="R31" i="8"/>
  <c r="L26" i="8"/>
  <c r="N32" i="8"/>
  <c r="R14" i="8"/>
  <c r="R26" i="8"/>
  <c r="L38" i="8"/>
  <c r="L36" i="8"/>
  <c r="R36" i="8"/>
  <c r="N5" i="8"/>
  <c r="O30" i="8"/>
  <c r="O35" i="8"/>
  <c r="L12" i="8"/>
  <c r="L19" i="8"/>
  <c r="L14" i="8"/>
  <c r="N38" i="8"/>
  <c r="R30" i="8"/>
  <c r="M17" i="8"/>
  <c r="O38" i="8"/>
  <c r="N17" i="8"/>
  <c r="P17" i="8"/>
  <c r="L15" i="8"/>
  <c r="L32" i="8" l="1"/>
  <c r="P32" i="8"/>
  <c r="N37" i="8"/>
  <c r="Q11" i="8"/>
  <c r="Q31" i="8"/>
  <c r="L39" i="8"/>
  <c r="M18" i="8"/>
  <c r="L34" i="8"/>
  <c r="D20" i="8"/>
  <c r="N19" i="8"/>
  <c r="N39" i="8"/>
  <c r="Q13" i="8"/>
  <c r="Q33" i="8"/>
  <c r="N25" i="8"/>
  <c r="D40" i="8"/>
  <c r="O25" i="8"/>
  <c r="E40" i="8"/>
  <c r="P37" i="8"/>
  <c r="Q19" i="8"/>
  <c r="Q39" i="8"/>
  <c r="B20" i="8"/>
  <c r="L5" i="8"/>
  <c r="P19" i="8"/>
  <c r="P39" i="8"/>
  <c r="Q25" i="8"/>
  <c r="G40" i="8"/>
  <c r="L35" i="8"/>
  <c r="F20" i="8"/>
  <c r="M37" i="8"/>
  <c r="M35" i="8"/>
  <c r="G20" i="8"/>
  <c r="R34" i="8"/>
  <c r="N36" i="8"/>
  <c r="R12" i="8"/>
  <c r="R32" i="8"/>
  <c r="H20" i="8"/>
  <c r="N15" i="8"/>
  <c r="N35" i="8"/>
  <c r="H40" i="8"/>
  <c r="M25" i="8"/>
  <c r="C40" i="8"/>
  <c r="B40" i="8"/>
  <c r="L25" i="8"/>
  <c r="P15" i="8"/>
  <c r="P35" i="8"/>
  <c r="M16" i="8"/>
  <c r="M36" i="8"/>
  <c r="Q15" i="8"/>
  <c r="Q35" i="8"/>
  <c r="P38" i="8"/>
  <c r="E20" i="8"/>
  <c r="O5" i="8"/>
  <c r="L20" i="8" l="1"/>
  <c r="R20" i="8"/>
  <c r="P20" i="8"/>
  <c r="Q20" i="8"/>
  <c r="R40" i="8"/>
  <c r="N40" i="8"/>
  <c r="O20" i="8"/>
  <c r="N20" i="8"/>
  <c r="M14" i="8"/>
  <c r="C20" i="8"/>
  <c r="L40" i="8"/>
  <c r="P25" i="8"/>
  <c r="F40" i="8"/>
  <c r="Q40" i="8"/>
  <c r="O40" i="8"/>
  <c r="M38" i="8"/>
  <c r="M34" i="8"/>
  <c r="P40" i="8" l="1"/>
  <c r="M20" i="8"/>
  <c r="M40" i="8"/>
  <c r="L10" i="9" l="1"/>
  <c r="L9" i="9"/>
  <c r="L6" i="9"/>
  <c r="L7" i="9"/>
  <c r="L13" i="9" l="1"/>
  <c r="L17" i="9"/>
  <c r="L11" i="9"/>
  <c r="L8" i="9"/>
  <c r="L16" i="9"/>
  <c r="L14" i="9"/>
  <c r="O9" i="9"/>
  <c r="L15" i="9"/>
  <c r="L19" i="9"/>
  <c r="O10" i="9" l="1"/>
  <c r="R16" i="9"/>
  <c r="Q18" i="9"/>
  <c r="P17" i="9"/>
  <c r="M6" i="9"/>
  <c r="N6" i="9"/>
  <c r="R19" i="9"/>
  <c r="Q12" i="9"/>
  <c r="O19" i="9"/>
  <c r="Q6" i="9"/>
  <c r="N13" i="9"/>
  <c r="P6" i="9"/>
  <c r="P8" i="9"/>
  <c r="Q17" i="9"/>
  <c r="P16" i="9"/>
  <c r="M16" i="9"/>
  <c r="Q16" i="9"/>
  <c r="L18" i="9"/>
  <c r="P15" i="9"/>
  <c r="O14" i="9"/>
  <c r="N15" i="9"/>
  <c r="R14" i="9"/>
  <c r="M9" i="9"/>
  <c r="O11" i="9"/>
  <c r="O15" i="9"/>
  <c r="Q15" i="9"/>
  <c r="N9" i="9"/>
  <c r="R15" i="9"/>
  <c r="M19" i="9"/>
  <c r="R8" i="9"/>
  <c r="M8" i="9"/>
  <c r="Q19" i="9"/>
  <c r="P13" i="9"/>
  <c r="M11" i="9"/>
  <c r="M7" i="9"/>
  <c r="M14" i="9"/>
  <c r="L12" i="9"/>
  <c r="P19" i="9"/>
  <c r="Q11" i="9"/>
  <c r="Q10" i="9"/>
  <c r="Q7" i="9"/>
  <c r="N11" i="9"/>
  <c r="O17" i="9"/>
  <c r="N10" i="9"/>
  <c r="N18" i="9"/>
  <c r="M13" i="9"/>
  <c r="R11" i="9"/>
  <c r="N8" i="9"/>
  <c r="R17" i="9"/>
  <c r="O12" i="9"/>
  <c r="O18" i="9"/>
  <c r="N14" i="9"/>
  <c r="P14" i="9"/>
  <c r="N16" i="9"/>
  <c r="R9" i="9"/>
  <c r="P9" i="9"/>
  <c r="R18" i="9"/>
  <c r="M17" i="9"/>
  <c r="P11" i="9"/>
  <c r="R7" i="9"/>
  <c r="R10" i="9"/>
  <c r="M10" i="9"/>
  <c r="O7" i="9"/>
  <c r="Q9" i="9"/>
  <c r="O8" i="9"/>
  <c r="N19" i="9"/>
  <c r="P18" i="9"/>
  <c r="O16" i="9"/>
  <c r="P10" i="9"/>
  <c r="M18" i="9"/>
  <c r="N7" i="9"/>
  <c r="P7" i="9"/>
  <c r="Q8" i="9"/>
  <c r="N12" i="9"/>
  <c r="Q14" i="9"/>
  <c r="R12" i="9"/>
  <c r="R6" i="9"/>
  <c r="M15" i="9"/>
  <c r="R13" i="9"/>
  <c r="M12" i="9"/>
  <c r="N17" i="9"/>
  <c r="P12" i="9"/>
  <c r="O13" i="9"/>
  <c r="Q13" i="9"/>
  <c r="R5" i="9" l="1"/>
  <c r="M5" i="9"/>
  <c r="O5" i="9"/>
  <c r="N5" i="9"/>
  <c r="L5" i="9"/>
  <c r="Q5" i="9"/>
  <c r="P5" i="9"/>
  <c r="P20" i="9" l="1"/>
  <c r="L20" i="9"/>
  <c r="Q20" i="9"/>
  <c r="R20" i="9"/>
  <c r="O20" i="9"/>
  <c r="M20" i="9"/>
  <c r="N20" i="9"/>
</calcChain>
</file>

<file path=xl/sharedStrings.xml><?xml version="1.0" encoding="utf-8"?>
<sst xmlns="http://schemas.openxmlformats.org/spreadsheetml/2006/main" count="306" uniqueCount="79">
  <si>
    <t>COUNTY</t>
  </si>
  <si>
    <t>Households</t>
  </si>
  <si>
    <t>Housing Units</t>
  </si>
  <si>
    <t>Delaware</t>
  </si>
  <si>
    <t>Fairfield</t>
  </si>
  <si>
    <t>Franklin</t>
  </si>
  <si>
    <t>Licking</t>
  </si>
  <si>
    <t>Madison</t>
  </si>
  <si>
    <t>Pickaway</t>
  </si>
  <si>
    <t>Union</t>
  </si>
  <si>
    <t>Variable</t>
  </si>
  <si>
    <t>Total Population</t>
  </si>
  <si>
    <t>Fayette</t>
  </si>
  <si>
    <t>Hocking</t>
  </si>
  <si>
    <t>Knox</t>
  </si>
  <si>
    <t>Logan</t>
  </si>
  <si>
    <t>Marion</t>
  </si>
  <si>
    <t>Morrow</t>
  </si>
  <si>
    <t>Perry</t>
  </si>
  <si>
    <t>Ross</t>
  </si>
  <si>
    <r>
      <t xml:space="preserve">County Growth Projections </t>
    </r>
    <r>
      <rPr>
        <sz val="16"/>
        <color theme="1" tint="0.34998626667073579"/>
        <rFont val="Arial"/>
        <family val="2"/>
      </rPr>
      <t>Total Population</t>
    </r>
  </si>
  <si>
    <t>Estimate</t>
  </si>
  <si>
    <t>Projections</t>
  </si>
  <si>
    <r>
      <t xml:space="preserve">County Growth Projections </t>
    </r>
    <r>
      <rPr>
        <sz val="16"/>
        <color theme="1" tint="0.34998626667073579"/>
        <rFont val="Arial"/>
        <family val="2"/>
      </rPr>
      <t>Residential Labor Force</t>
    </r>
  </si>
  <si>
    <r>
      <t xml:space="preserve">Residential </t>
    </r>
    <r>
      <rPr>
        <sz val="12"/>
        <color theme="1" tint="0.34998626667073579"/>
        <rFont val="Arial"/>
        <family val="2"/>
      </rPr>
      <t>Labor Force</t>
    </r>
  </si>
  <si>
    <r>
      <t xml:space="preserve">Residential </t>
    </r>
    <r>
      <rPr>
        <sz val="12"/>
        <color theme="1" tint="0.34998626667073579"/>
        <rFont val="Arial"/>
        <family val="2"/>
      </rPr>
      <t>Employed Workers</t>
    </r>
  </si>
  <si>
    <r>
      <t xml:space="preserve">County Growth Projections </t>
    </r>
    <r>
      <rPr>
        <sz val="16"/>
        <color theme="1" tint="0.34998626667073579"/>
        <rFont val="Arial"/>
        <family val="2"/>
      </rPr>
      <t>Households and Housing Units</t>
    </r>
  </si>
  <si>
    <t>Average Household Size (1)</t>
  </si>
  <si>
    <t>Occupancy Rate (2)</t>
  </si>
  <si>
    <t>Share of 18 - 64 Population (1)</t>
  </si>
  <si>
    <t>Total</t>
  </si>
  <si>
    <t>Unemployment Rate</t>
  </si>
  <si>
    <t>Forecast</t>
  </si>
  <si>
    <t>Estimate (1)</t>
  </si>
  <si>
    <t>Forecast (2)</t>
  </si>
  <si>
    <t>Confidence Limit (upper)</t>
  </si>
  <si>
    <t>Confidence Limit (lower)</t>
  </si>
  <si>
    <t>Forecasts are derived from historic patterns and major expected economic developments. For more details, see the methods document (TBD on "References" sheet).</t>
  </si>
  <si>
    <t>Historic population estimates are sourced from the Census Population Estimates Program (TBD on "References" sheet)</t>
  </si>
  <si>
    <t>Confidence Interval (upper)</t>
  </si>
  <si>
    <t>Confidence Interval (lower)</t>
  </si>
  <si>
    <t>Confidence Limit (upper) (3)</t>
  </si>
  <si>
    <t>Confidence Limit (lower) (3)</t>
  </si>
  <si>
    <t>Confidence Interval (upper) (4)</t>
  </si>
  <si>
    <t xml:space="preserve">Confidence Interval (lower) (4) </t>
  </si>
  <si>
    <t>The confidence limits represent the highest and lowest expected population based exclusively on historic patterns.  Unprecedented circumstances may cause the forecasted population to exceed these limits. For more details, see the methods document (TBD on "References" sheet).</t>
  </si>
  <si>
    <t>The confidence intervals represent the difference between the forecast and the upper confidence limit and the forecast and the lower confidence limit.</t>
  </si>
  <si>
    <t>Updated January 9, 2023</t>
  </si>
  <si>
    <t>Average Household Size is assumed as a fixed value, by county.  See methods document for more information (TBD on "References" sheet)</t>
  </si>
  <si>
    <t>Occupancy rate is assumed as a fixed value, by county.  See methods document for more information (TBD on "References" sheet)</t>
  </si>
  <si>
    <t>Labor force is estimated based on participation among age groups from ages 16 - 79, though the vast majority of people in the labor force are between the ages of 18 and 64.  See methods document for more information (TBD on "References" sheet.)</t>
  </si>
  <si>
    <t>CAGR, or Compound Annual Growth Rate, calculated as (value at end of period / value at beginning of period) ^ (1/ number of years in period) - 1</t>
  </si>
  <si>
    <t>Growth</t>
  </si>
  <si>
    <t>% Growth</t>
  </si>
  <si>
    <t>CAGR (5)</t>
  </si>
  <si>
    <t>CAGR</t>
  </si>
  <si>
    <t>Historic Growth Overview</t>
  </si>
  <si>
    <t>Projected Growth Overview</t>
  </si>
  <si>
    <t>1980 - 2021</t>
  </si>
  <si>
    <t>2021 - 2050</t>
  </si>
  <si>
    <t>Historic population</t>
  </si>
  <si>
    <t>Forecasted population</t>
  </si>
  <si>
    <t>Confidence limit</t>
  </si>
  <si>
    <t>County</t>
  </si>
  <si>
    <t>Percent change</t>
  </si>
  <si>
    <t>Labor force</t>
  </si>
  <si>
    <t>Households (round)</t>
  </si>
  <si>
    <t>Labor force (round)</t>
  </si>
  <si>
    <t>Households (label)</t>
  </si>
  <si>
    <t>Labor force (label)</t>
  </si>
  <si>
    <t>2020 Total</t>
  </si>
  <si>
    <t>2050 Total</t>
  </si>
  <si>
    <t>Change 2020-2050</t>
  </si>
  <si>
    <t>1980 label</t>
  </si>
  <si>
    <t>2020 label</t>
  </si>
  <si>
    <t>2050 label</t>
  </si>
  <si>
    <t>Population</t>
  </si>
  <si>
    <t>Population (round)</t>
  </si>
  <si>
    <t>Population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</si>
</sst>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sz val="11"/>
      <color theme="1"/>
      <name val="Calibri"/>
      <family val="2"/>
      <scheme val="minor"/>
    </font>
    <font>
      <b/>
      <sz val="12"/>
      <color theme="1" tint="0.34998626667073579"/>
      <name val="Arial"/>
      <family val="2"/>
    </font>
    <font>
      <b/>
      <sz val="11"/>
      <color theme="1" tint="0.34998626667073579"/>
      <name val="Arial"/>
      <family val="2"/>
    </font>
    <font>
      <sz val="10"/>
      <color theme="1"/>
      <name val="Calibri"/>
      <family val="2"/>
      <scheme val="minor"/>
    </font>
    <font>
      <sz val="8"/>
      <color theme="1"/>
      <name val="Calibri"/>
      <family val="2"/>
      <scheme val="minor"/>
    </font>
    <font>
      <b/>
      <sz val="16"/>
      <color theme="1" tint="0.34998626667073579"/>
      <name val="Arial"/>
      <family val="2"/>
    </font>
    <font>
      <sz val="11"/>
      <color theme="1" tint="0.34998626667073579"/>
      <name val="Calibri"/>
      <family val="2"/>
      <scheme val="minor"/>
    </font>
    <font>
      <b/>
      <sz val="10"/>
      <color theme="1" tint="0.34998626667073579"/>
      <name val="Arial"/>
      <family val="2"/>
    </font>
    <font>
      <sz val="11"/>
      <color theme="1" tint="0.14999847407452621"/>
      <name val="Calibri"/>
      <family val="2"/>
      <scheme val="minor"/>
    </font>
    <font>
      <b/>
      <sz val="8"/>
      <color theme="1" tint="0.34998626667073579"/>
      <name val="Arial"/>
      <family val="2"/>
    </font>
    <font>
      <b/>
      <sz val="11"/>
      <color theme="1" tint="0.14999847407452621"/>
      <name val="Calibri"/>
      <family val="2"/>
      <scheme val="minor"/>
    </font>
    <font>
      <b/>
      <sz val="10"/>
      <color theme="1" tint="0.14999847407452621"/>
      <name val="Arial"/>
      <family val="2"/>
    </font>
    <font>
      <sz val="12"/>
      <color theme="1" tint="0.34998626667073579"/>
      <name val="Arial"/>
      <family val="2"/>
    </font>
    <font>
      <sz val="11"/>
      <color rgb="FF35989D"/>
      <name val="Calibri"/>
      <family val="2"/>
      <scheme val="minor"/>
    </font>
    <font>
      <sz val="16"/>
      <color theme="1" tint="0.34998626667073579"/>
      <name val="Arial"/>
      <family val="2"/>
    </font>
    <font>
      <sz val="8"/>
      <color theme="1"/>
      <name val="Arial"/>
      <family val="2"/>
    </font>
    <font>
      <b/>
      <sz val="11"/>
      <color theme="1" tint="0.34998626667073579"/>
      <name val="Calibri"/>
      <family val="2"/>
      <scheme val="minor"/>
    </font>
    <font>
      <sz val="10"/>
      <color theme="1" tint="0.34998626667073579"/>
      <name val="Arial"/>
      <family val="2"/>
    </font>
    <font>
      <i/>
      <sz val="11"/>
      <color theme="1"/>
      <name val="Calibri"/>
      <family val="2"/>
      <scheme val="minor"/>
    </font>
    <font>
      <sz val="11"/>
      <color theme="1"/>
      <name val="Calibri"/>
      <family val="2"/>
    </font>
    <font>
      <b/>
      <sz val="8"/>
      <color rgb="FF35989D"/>
      <name val="Arial"/>
      <family val="2"/>
    </font>
    <font>
      <b/>
      <sz val="10"/>
      <color rgb="FF35989D"/>
      <name val="Arial"/>
      <family val="2"/>
    </font>
    <font>
      <b/>
      <sz val="11"/>
      <color rgb="FF35989D"/>
      <name val="Arial"/>
      <family val="2"/>
    </font>
  </fonts>
  <fills count="2">
    <fill>
      <patternFill patternType="none"/>
    </fill>
    <fill>
      <patternFill patternType="gray125"/>
    </fill>
  </fills>
  <borders count="2">
    <border>
      <left/>
      <right/>
      <top/>
      <bottom/>
      <diagonal/>
    </border>
    <border>
      <left/>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64">
    <xf numFmtId="0" fontId="0" fillId="0" borderId="0" xfId="0"/>
    <xf numFmtId="164" fontId="0" fillId="0" borderId="0" xfId="0" applyNumberFormat="1"/>
    <xf numFmtId="0" fontId="3" fillId="0" borderId="0" xfId="0" applyFont="1" applyAlignment="1">
      <alignment horizontal="center"/>
    </xf>
    <xf numFmtId="0" fontId="4" fillId="0" borderId="0" xfId="0" applyFont="1"/>
    <xf numFmtId="0" fontId="5" fillId="0" borderId="0" xfId="0" applyFont="1"/>
    <xf numFmtId="0" fontId="7" fillId="0" borderId="0" xfId="0" applyFont="1"/>
    <xf numFmtId="164" fontId="0" fillId="0" borderId="0" xfId="1" applyNumberFormat="1" applyFont="1"/>
    <xf numFmtId="0" fontId="0" fillId="0" borderId="0" xfId="0" applyAlignment="1">
      <alignment vertical="center"/>
    </xf>
    <xf numFmtId="0" fontId="2" fillId="0" borderId="0" xfId="0" applyFont="1" applyAlignment="1">
      <alignment horizontal="left" vertical="center" wrapText="1"/>
    </xf>
    <xf numFmtId="164" fontId="11" fillId="0" borderId="0" xfId="0" applyNumberFormat="1" applyFont="1"/>
    <xf numFmtId="0" fontId="14" fillId="0" borderId="0" xfId="0" applyFont="1"/>
    <xf numFmtId="0" fontId="8" fillId="0" borderId="0" xfId="0" applyFont="1" applyAlignment="1">
      <alignment horizontal="center" vertical="center" wrapText="1"/>
    </xf>
    <xf numFmtId="0" fontId="11" fillId="0" borderId="0" xfId="0" applyFont="1"/>
    <xf numFmtId="0" fontId="16" fillId="0" borderId="0" xfId="0" applyFont="1"/>
    <xf numFmtId="0" fontId="12" fillId="0" borderId="1" xfId="0" applyFont="1" applyBorder="1" applyAlignment="1">
      <alignment horizontal="right"/>
    </xf>
    <xf numFmtId="0" fontId="8" fillId="0" borderId="0" xfId="0" applyFont="1" applyAlignment="1">
      <alignment horizontal="right"/>
    </xf>
    <xf numFmtId="164" fontId="7" fillId="0" borderId="0" xfId="1" applyNumberFormat="1" applyFont="1"/>
    <xf numFmtId="165" fontId="18" fillId="0" borderId="0" xfId="2" applyNumberFormat="1" applyFont="1" applyAlignment="1">
      <alignment horizontal="right"/>
    </xf>
    <xf numFmtId="164" fontId="7" fillId="0" borderId="0" xfId="1" applyNumberFormat="1" applyFont="1" applyBorder="1"/>
    <xf numFmtId="0" fontId="8" fillId="0" borderId="1" xfId="0" applyFont="1" applyBorder="1" applyAlignment="1">
      <alignment horizontal="right"/>
    </xf>
    <xf numFmtId="164" fontId="17" fillId="0" borderId="1" xfId="0" applyNumberFormat="1" applyFont="1" applyBorder="1"/>
    <xf numFmtId="165" fontId="17" fillId="0" borderId="1" xfId="2" applyNumberFormat="1" applyFont="1" applyBorder="1"/>
    <xf numFmtId="0" fontId="17" fillId="0" borderId="0" xfId="0" applyFont="1"/>
    <xf numFmtId="2" fontId="18" fillId="0" borderId="0" xfId="2" applyNumberFormat="1" applyFont="1" applyAlignment="1">
      <alignment horizontal="right"/>
    </xf>
    <xf numFmtId="2" fontId="17" fillId="0" borderId="1" xfId="2" applyNumberFormat="1" applyFont="1" applyBorder="1"/>
    <xf numFmtId="9" fontId="18" fillId="0" borderId="0" xfId="2" applyFont="1" applyAlignment="1">
      <alignment horizontal="right"/>
    </xf>
    <xf numFmtId="9" fontId="11" fillId="0" borderId="1" xfId="2" applyFont="1" applyBorder="1"/>
    <xf numFmtId="0" fontId="7" fillId="0" borderId="0" xfId="0" applyFont="1" applyAlignment="1">
      <alignment horizontal="right"/>
    </xf>
    <xf numFmtId="0" fontId="19" fillId="0" borderId="0" xfId="0" applyFont="1"/>
    <xf numFmtId="0" fontId="8" fillId="0" borderId="0" xfId="0" applyFont="1" applyAlignment="1">
      <alignment vertical="center" wrapText="1"/>
    </xf>
    <xf numFmtId="164" fontId="20" fillId="0" borderId="0" xfId="1" applyNumberFormat="1" applyFont="1" applyFill="1" applyBorder="1"/>
    <xf numFmtId="2" fontId="18" fillId="0" borderId="0" xfId="2" applyNumberFormat="1" applyFont="1" applyBorder="1" applyAlignment="1">
      <alignment horizontal="right"/>
    </xf>
    <xf numFmtId="164" fontId="17" fillId="0" borderId="0" xfId="0" applyNumberFormat="1" applyFont="1"/>
    <xf numFmtId="2" fontId="17" fillId="0" borderId="0" xfId="2" applyNumberFormat="1" applyFont="1" applyBorder="1"/>
    <xf numFmtId="9" fontId="18" fillId="0" borderId="0" xfId="2" applyFont="1" applyBorder="1" applyAlignment="1">
      <alignment horizontal="right"/>
    </xf>
    <xf numFmtId="9" fontId="11" fillId="0" borderId="0" xfId="2" applyFont="1" applyBorder="1"/>
    <xf numFmtId="165" fontId="18" fillId="0" borderId="0" xfId="2" applyNumberFormat="1" applyFont="1" applyBorder="1" applyAlignment="1">
      <alignment horizontal="right"/>
    </xf>
    <xf numFmtId="165" fontId="17" fillId="0" borderId="0" xfId="2" applyNumberFormat="1" applyFont="1" applyBorder="1"/>
    <xf numFmtId="0" fontId="10" fillId="0" borderId="0" xfId="0" applyFont="1" applyAlignment="1">
      <alignment horizontal="center" wrapText="1"/>
    </xf>
    <xf numFmtId="0" fontId="0" fillId="0" borderId="0" xfId="0" applyAlignment="1">
      <alignment wrapText="1"/>
    </xf>
    <xf numFmtId="0" fontId="8" fillId="0" borderId="0" xfId="0" applyFont="1" applyAlignment="1">
      <alignment horizontal="right" vertical="top" wrapText="1"/>
    </xf>
    <xf numFmtId="164" fontId="17" fillId="0" borderId="0" xfId="1" applyNumberFormat="1" applyFont="1" applyAlignment="1">
      <alignment vertical="top"/>
    </xf>
    <xf numFmtId="3" fontId="0" fillId="0" borderId="0" xfId="1" applyNumberFormat="1" applyFont="1" applyAlignment="1">
      <alignment vertical="top"/>
    </xf>
    <xf numFmtId="0" fontId="9" fillId="0" borderId="0" xfId="0" applyFont="1" applyAlignment="1">
      <alignment vertical="top"/>
    </xf>
    <xf numFmtId="0" fontId="8" fillId="0" borderId="0" xfId="0" applyFont="1" applyAlignment="1">
      <alignment horizontal="right" vertical="top"/>
    </xf>
    <xf numFmtId="164" fontId="17" fillId="0" borderId="0" xfId="1" applyNumberFormat="1" applyFont="1" applyFill="1" applyAlignment="1">
      <alignment vertical="top"/>
    </xf>
    <xf numFmtId="0" fontId="14" fillId="0" borderId="0" xfId="0" applyFont="1" applyAlignment="1">
      <alignment vertical="top"/>
    </xf>
    <xf numFmtId="0" fontId="0" fillId="0" borderId="0" xfId="0" applyAlignment="1">
      <alignment vertical="top"/>
    </xf>
    <xf numFmtId="9" fontId="18" fillId="0" borderId="0" xfId="2" applyFont="1" applyFill="1" applyAlignment="1">
      <alignment horizontal="right"/>
    </xf>
    <xf numFmtId="0" fontId="21" fillId="0" borderId="0" xfId="0" applyFont="1" applyAlignment="1">
      <alignment horizontal="center"/>
    </xf>
    <xf numFmtId="164" fontId="14" fillId="0" borderId="0" xfId="0" applyNumberFormat="1" applyFont="1" applyAlignment="1">
      <alignment vertical="top"/>
    </xf>
    <xf numFmtId="165" fontId="14" fillId="0" borderId="0" xfId="2" applyNumberFormat="1" applyFont="1" applyAlignment="1">
      <alignment vertical="top"/>
    </xf>
    <xf numFmtId="10" fontId="14" fillId="0" borderId="0" xfId="2" applyNumberFormat="1" applyFont="1" applyAlignment="1">
      <alignment vertical="top"/>
    </xf>
    <xf numFmtId="3" fontId="0" fillId="0" borderId="0" xfId="0" applyNumberFormat="1"/>
    <xf numFmtId="9" fontId="0" fillId="0" borderId="0" xfId="2" applyFont="1"/>
    <xf numFmtId="164" fontId="0" fillId="0" borderId="0" xfId="1" applyNumberFormat="1" applyFont="1" applyAlignment="1">
      <alignment wrapText="1"/>
    </xf>
    <xf numFmtId="0" fontId="22" fillId="0" borderId="0" xfId="0" applyFont="1" applyAlignment="1">
      <alignment horizontal="center"/>
    </xf>
    <xf numFmtId="0" fontId="23" fillId="0" borderId="0" xfId="0" applyFont="1" applyAlignment="1">
      <alignment horizontal="center"/>
    </xf>
    <xf numFmtId="0" fontId="3" fillId="0" borderId="0" xfId="0" applyFont="1" applyAlignment="1">
      <alignment horizontal="center"/>
    </xf>
    <xf numFmtId="0" fontId="6" fillId="0" borderId="0" xfId="0" applyFont="1" applyAlignment="1">
      <alignment horizontal="left"/>
    </xf>
    <xf numFmtId="0" fontId="2" fillId="0" borderId="0" xfId="0" applyFont="1" applyAlignment="1">
      <alignment horizontal="left" vertical="center" wrapText="1"/>
    </xf>
    <xf numFmtId="0" fontId="8" fillId="0" borderId="0" xfId="0" applyFont="1" applyAlignment="1">
      <alignment horizontal="center" vertical="center" wrapText="1"/>
    </xf>
    <xf numFmtId="9" fontId="0" fillId="0" borderId="0" xfId="2" applyNumberFormat="1" applyFont="1"/>
    <xf numFmtId="9" fontId="0" fillId="0" borderId="0" xfId="2" applyFont="1" applyAlignment="1">
      <alignment wrapText="1"/>
    </xf>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00B2BF"/>
      <color rgb="FF2E5072"/>
      <color rgb="FF0075BF"/>
      <color rgb="FF2A7F67"/>
      <color rgb="FFA6A6A6"/>
      <color rgb="FF365072"/>
      <color rgb="FFBCDCE6"/>
      <color rgb="FF82BDD0"/>
      <color rgb="FF3598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15-County</a:t>
            </a:r>
            <a:r>
              <a:rPr lang="en-US" baseline="0"/>
              <a:t> Region Population</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strRef>
              <c:f>'Population Chart Data'!$B$4</c:f>
              <c:strCache>
                <c:ptCount val="1"/>
                <c:pt idx="0">
                  <c:v>Confidence limit</c:v>
                </c:pt>
              </c:strCache>
            </c:strRef>
          </c:tx>
          <c:spPr>
            <a:ln w="19050" cap="rnd">
              <a:solidFill>
                <a:srgbClr val="A6A6A6"/>
              </a:solidFill>
              <a:round/>
            </a:ln>
            <a:effectLst/>
          </c:spPr>
          <c:marker>
            <c:symbol val="circle"/>
            <c:size val="4"/>
            <c:spPr>
              <a:solidFill>
                <a:srgbClr val="A6A6A6"/>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Data'!$H$64:$N$64</c:f>
              <c:numCache>
                <c:formatCode>#,##0</c:formatCode>
                <c:ptCount val="7"/>
                <c:pt idx="0" formatCode="General">
                  <c:v>2431037</c:v>
                </c:pt>
                <c:pt idx="1">
                  <c:v>2597188</c:v>
                </c:pt>
                <c:pt idx="2">
                  <c:v>2816613</c:v>
                </c:pt>
                <c:pt idx="3">
                  <c:v>3068141</c:v>
                </c:pt>
                <c:pt idx="4">
                  <c:v>3345949</c:v>
                </c:pt>
                <c:pt idx="5">
                  <c:v>3646586</c:v>
                </c:pt>
                <c:pt idx="6">
                  <c:v>3967683</c:v>
                </c:pt>
              </c:numCache>
            </c:numRef>
          </c:yVal>
          <c:smooth val="0"/>
          <c:extLst>
            <c:ext xmlns:c16="http://schemas.microsoft.com/office/drawing/2014/chart" uri="{C3380CC4-5D6E-409C-BE32-E72D297353CC}">
              <c16:uniqueId val="{00000003-B323-466F-9BE1-7C12E23E2559}"/>
            </c:ext>
          </c:extLst>
        </c:ser>
        <c:ser>
          <c:idx val="3"/>
          <c:order val="1"/>
          <c:tx>
            <c:strRef>
              <c:f>'Population Chart Data'!$B$5</c:f>
              <c:strCache>
                <c:ptCount val="1"/>
                <c:pt idx="0">
                  <c:v>Confidence limit</c:v>
                </c:pt>
              </c:strCache>
            </c:strRef>
          </c:tx>
          <c:spPr>
            <a:ln w="19050" cap="rnd">
              <a:solidFill>
                <a:srgbClr val="A6A6A6"/>
              </a:solidFill>
              <a:round/>
            </a:ln>
            <a:effectLst/>
          </c:spPr>
          <c:marker>
            <c:symbol val="circle"/>
            <c:size val="4"/>
            <c:spPr>
              <a:solidFill>
                <a:srgbClr val="A6A6A6"/>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Data'!$H$65:$N$65</c:f>
              <c:numCache>
                <c:formatCode>#,##0</c:formatCode>
                <c:ptCount val="7"/>
                <c:pt idx="0" formatCode="General">
                  <c:v>2431037</c:v>
                </c:pt>
                <c:pt idx="1">
                  <c:v>2445231</c:v>
                </c:pt>
                <c:pt idx="2">
                  <c:v>2428110</c:v>
                </c:pt>
                <c:pt idx="3">
                  <c:v>2378893</c:v>
                </c:pt>
                <c:pt idx="4">
                  <c:v>2303397</c:v>
                </c:pt>
                <c:pt idx="5">
                  <c:v>2205068</c:v>
                </c:pt>
                <c:pt idx="6">
                  <c:v>2086279</c:v>
                </c:pt>
              </c:numCache>
            </c:numRef>
          </c:yVal>
          <c:smooth val="0"/>
          <c:extLst>
            <c:ext xmlns:c16="http://schemas.microsoft.com/office/drawing/2014/chart" uri="{C3380CC4-5D6E-409C-BE32-E72D297353CC}">
              <c16:uniqueId val="{00000004-B323-466F-9BE1-7C12E23E2559}"/>
            </c:ext>
          </c:extLst>
        </c:ser>
        <c:ser>
          <c:idx val="1"/>
          <c:order val="2"/>
          <c:tx>
            <c:strRef>
              <c:f>'Population Chart Data'!$B$3</c:f>
              <c:strCache>
                <c:ptCount val="1"/>
                <c:pt idx="0">
                  <c:v>Forecasted population</c:v>
                </c:pt>
              </c:strCache>
            </c:strRef>
          </c:tx>
          <c:spPr>
            <a:ln w="34925" cap="rnd">
              <a:solidFill>
                <a:srgbClr val="00B2BF"/>
              </a:solidFill>
              <a:round/>
            </a:ln>
            <a:effectLst/>
          </c:spPr>
          <c:marker>
            <c:symbol val="circle"/>
            <c:size val="6"/>
            <c:spPr>
              <a:solidFill>
                <a:srgbClr val="00B2BF"/>
              </a:solidFill>
              <a:ln w="9525">
                <a:solidFill>
                  <a:srgbClr val="00B2BF"/>
                </a:solidFill>
              </a:ln>
              <a:effectLst/>
            </c:spPr>
          </c:marker>
          <c:dLbls>
            <c:dLbl>
              <c:idx val="6"/>
              <c:layout>
                <c:manualLayout>
                  <c:x val="-7.096069868995647E-2"/>
                  <c:y val="7.527853056308341E-2"/>
                </c:manualLayout>
              </c:layout>
              <c:tx>
                <c:rich>
                  <a:bodyPr/>
                  <a:lstStyle/>
                  <a:p>
                    <a:fld id="{794D9099-585F-4170-B8FC-691D5FE93696}"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{794D9099-585F-4170-B8FC-691D5FE93696}</c15:txfldGUID>
                      <c15:f>'Population Chart Data'!$Q$62</c15:f>
                      <c15:dlblFieldTableCache>
                        <c:ptCount val="1"/>
                        <c:pt idx="0">
                          <c:v> 3,147,000 </c:v>
                        </c:pt>
                      </c15:dlblFieldTableCache>
                    </c15:dlblFTEntry>
                  </c15:dlblFieldTable>
                  <c15:showDataLabelsRange val="0"/>
                </c:ext>
                <c:ext xmlns:c16="http://schemas.microsoft.com/office/drawing/2014/chart" uri="{C3380CC4-5D6E-409C-BE32-E72D297353CC}">
                  <c16:uniqueId val="{00000000-B258-4334-8591-6371BD06A243}"/>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Data'!$H$63:$N$63</c:f>
              <c:numCache>
                <c:formatCode>General</c:formatCode>
                <c:ptCount val="7"/>
                <c:pt idx="0">
                  <c:v>2431037</c:v>
                </c:pt>
                <c:pt idx="1">
                  <c:v>2555315</c:v>
                </c:pt>
                <c:pt idx="2">
                  <c:v>2676926</c:v>
                </c:pt>
                <c:pt idx="3">
                  <c:v>2827180</c:v>
                </c:pt>
                <c:pt idx="4">
                  <c:v>2944699</c:v>
                </c:pt>
                <c:pt idx="5">
                  <c:v>3045854</c:v>
                </c:pt>
                <c:pt idx="6">
                  <c:v>3147011</c:v>
                </c:pt>
              </c:numCache>
            </c:numRef>
          </c:yVal>
          <c:smooth val="0"/>
          <c:extLst>
            <c:ext xmlns:c16="http://schemas.microsoft.com/office/drawing/2014/chart" uri="{C3380CC4-5D6E-409C-BE32-E72D297353CC}">
              <c16:uniqueId val="{00000006-B323-466F-9BE1-7C12E23E2559}"/>
            </c:ext>
          </c:extLst>
        </c:ser>
        <c:ser>
          <c:idx val="0"/>
          <c:order val="3"/>
          <c:tx>
            <c:strRef>
              <c:f>'Population Chart Data'!$B$2</c:f>
              <c:strCache>
                <c:ptCount val="1"/>
                <c:pt idx="0">
                  <c:v>Historic population</c:v>
                </c:pt>
              </c:strCache>
            </c:strRef>
          </c:tx>
          <c:spPr>
            <a:ln w="34925" cap="rnd">
              <a:solidFill>
                <a:srgbClr val="2E5072"/>
              </a:solidFill>
              <a:round/>
            </a:ln>
            <a:effectLst/>
          </c:spPr>
          <c:marker>
            <c:symbol val="circle"/>
            <c:size val="6"/>
            <c:spPr>
              <a:solidFill>
                <a:srgbClr val="2E5072"/>
              </a:solidFill>
              <a:ln w="9525">
                <a:solidFill>
                  <a:srgbClr val="2E5072"/>
                </a:solidFill>
              </a:ln>
              <a:effectLst/>
            </c:spPr>
          </c:marker>
          <c:dLbls>
            <c:dLbl>
              <c:idx val="0"/>
              <c:layout>
                <c:manualLayout>
                  <c:x val="2.0014556040756915E-2"/>
                  <c:y val="-7.527853056308341E-2"/>
                </c:manualLayout>
              </c:layout>
              <c:tx>
                <c:rich>
                  <a:bodyPr/>
                  <a:lstStyle/>
                  <a:p>
                    <a:fld id="{2E178B6A-2E93-4329-8EDE-70B149BD7BBB}"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{2E178B6A-2E93-4329-8EDE-70B149BD7BBB}</c15:txfldGUID>
                      <c15:f>'Population Chart Data'!$O$62</c15:f>
                      <c15:dlblFieldTableCache>
                        <c:ptCount val="1"/>
                        <c:pt idx="0">
                          <c:v> 1,572,000 </c:v>
                        </c:pt>
                      </c15:dlblFieldTableCache>
                    </c15:dlblFTEntry>
                  </c15:dlblFieldTable>
                  <c15:showDataLabelsRange val="0"/>
                </c:ext>
                <c:ext xmlns:c16="http://schemas.microsoft.com/office/drawing/2014/chart" uri="{C3380CC4-5D6E-409C-BE32-E72D297353CC}">
                  <c16:uniqueId val="{00000000-B323-466F-9BE1-7C12E23E2559}"/>
                </c:ext>
              </c:extLst>
            </c:dLbl>
            <c:dLbl>
              <c:idx val="4"/>
              <c:layout>
                <c:manualLayout>
                  <c:x val="-0.16011644832605532"/>
                  <c:y val="-6.323396567299007E-2"/>
                </c:manualLayout>
              </c:layout>
              <c:tx>
                <c:rich>
                  <a:bodyPr/>
                  <a:lstStyle/>
                  <a:p>
                    <a:fld id="{D6E15A46-E038-4C29-AE08-B140504F705D}"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{D6E15A46-E038-4C29-AE08-B140504F705D}</c15:txfldGUID>
                      <c15:f>'Population Chart Data'!$P$62</c15:f>
                      <c15:dlblFieldTableCache>
                        <c:ptCount val="1"/>
                        <c:pt idx="0">
                          <c:v> 2,421,000 </c:v>
                        </c:pt>
                      </c15:dlblFieldTableCache>
                    </c15:dlblFTEntry>
                  </c15:dlblFieldTable>
                  <c15:showDataLabelsRange val="0"/>
                </c:ext>
                <c:ext xmlns:c16="http://schemas.microsoft.com/office/drawing/2014/chart" uri="{C3380CC4-5D6E-409C-BE32-E72D297353CC}">
                  <c16:uniqueId val="{00000007-B323-466F-9BE1-7C12E23E2559}"/>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Data'!$C$1:$H$1</c:f>
              <c:numCache>
                <c:formatCode>General</c:formatCode>
                <c:ptCount val="6"/>
                <c:pt idx="0">
                  <c:v>1980</c:v>
                </c:pt>
                <c:pt idx="1">
                  <c:v>1990</c:v>
                </c:pt>
                <c:pt idx="2">
                  <c:v>2000</c:v>
                </c:pt>
                <c:pt idx="3">
                  <c:v>2010</c:v>
                </c:pt>
                <c:pt idx="4">
                  <c:v>2020</c:v>
                </c:pt>
                <c:pt idx="5">
                  <c:v>2021</c:v>
                </c:pt>
              </c:numCache>
            </c:numRef>
          </c:xVal>
          <c:yVal>
            <c:numRef>
              <c:f>'Population Chart Data'!$C$62:$H$62</c:f>
              <c:numCache>
                <c:formatCode>General</c:formatCode>
                <c:ptCount val="6"/>
                <c:pt idx="0">
                  <c:v>1571547</c:v>
                </c:pt>
                <c:pt idx="1">
                  <c:v>1719508</c:v>
                </c:pt>
                <c:pt idx="2">
                  <c:v>1950805</c:v>
                </c:pt>
                <c:pt idx="3">
                  <c:v>2186769</c:v>
                </c:pt>
                <c:pt idx="4">
                  <c:v>2421159</c:v>
                </c:pt>
                <c:pt idx="5">
                  <c:v>2431037</c:v>
                </c:pt>
              </c:numCache>
            </c:numRef>
          </c:yVal>
          <c:smooth val="0"/>
          <c:extLst>
            <c:ext xmlns:c16="http://schemas.microsoft.com/office/drawing/2014/chart" uri="{C3380CC4-5D6E-409C-BE32-E72D297353CC}">
              <c16:uniqueId val="{00000002-B323-466F-9BE1-7C12E23E2559}"/>
            </c:ext>
          </c:extLst>
        </c:ser>
        <c:dLbls>
          <c:showLegendKey val="0"/>
          <c:showVal val="0"/>
          <c:showCatName val="0"/>
          <c:showSerName val="0"/>
          <c:showPercent val="0"/>
          <c:showBubbleSize val="0"/>
        </c:dLbls>
        <c:axId val="1903336224"/>
        <c:axId val="1903339136"/>
      </c:scatterChart>
      <c:valAx>
        <c:axId val="1903336224"/>
        <c:scaling>
          <c:orientation val="minMax"/>
          <c:max val="2050"/>
          <c:min val="198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9136"/>
        <c:crosses val="autoZero"/>
        <c:crossBetween val="midCat"/>
      </c:valAx>
      <c:valAx>
        <c:axId val="1903339136"/>
        <c:scaling>
          <c:orientation val="minMax"/>
          <c:max val="4000000"/>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6224"/>
        <c:crosses val="autoZero"/>
        <c:crossBetween val="midCat"/>
        <c:majorUnit val="1000000"/>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'Other chart data'!$A$2</c:f>
              <c:strCache>
                <c:ptCount val="1"/>
                <c:pt idx="0">
                  <c:v>2020 Total</c:v>
                </c:pt>
              </c:strCache>
            </c:strRef>
          </c:tx>
          <c:spPr>
            <a:solidFill>
              <a:srgbClr val="2E5072"/>
            </a:solidFill>
            <a:ln>
              <a:noFill/>
            </a:ln>
            <a:effectLst/>
          </c:spPr>
          <c:invertIfNegative val="0"/>
          <c:dLbls>
            <c:dLbl>
              <c:idx val="0"/>
              <c:tx>
                <c:rich>
                  <a:bodyPr/>
                  <a:lstStyle/>
                  <a:p>
                    <a:fld id="{10F2A173-FF90-472E-B9B5-3F4D3EE398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63B-4929-AB9A-ACD1C18E94C0}"/>
                </c:ext>
              </c:extLst>
            </c:dLbl>
            <c:dLbl>
              <c:idx val="1"/>
              <c:tx>
                <c:rich>
                  <a:bodyPr/>
                  <a:lstStyle/>
                  <a:p>
                    <a:fld id="{57288F46-47D9-45E8-B65D-4651DB35CB7A}" type="CELLRANGE">
                      <a:rPr lang="en-US"/>
                      <a:pPr/>
                      <a:t>[CELLRANGE]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063B-4929-AB9A-ACD1C18E94C0}"/>
                </c:ext>
              </c:extLst>
            </c:dLbl>
            <c:dLbl>
              <c:idx val="2"/>
              <c:tx>
                <c:rich>
                  <a:bodyPr/>
                  <a:lstStyle/>
                  <a:p>
                    <a:fld id="{1241319A-6C54-4732-943C-FBEAEBBFB0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EE3-4AA5-B3E8-BB5FB911951C}"/>
                </c:ext>
              </c:extLst>
            </c:dLbl>
            <c:spPr>
              <a:noFill/>
              <a:ln>
                <a:noFill/>
              </a:ln>
              <a:effectLst/>
            </c:spPr>
            <c:txPr>
              <a:bodyPr rot="0" spcFirstLastPara="1" vertOverflow="ellipsis" vert="horz" wrap="non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'Other chart data'!$B$1:$D$1</c:f>
              <c:strCache>
                <c:ptCount val="3"/>
                <c:pt idx="0">
                  <c:v>Population</c:v>
                </c:pt>
                <c:pt idx="1">
                  <c:v>Households</c:v>
                </c:pt>
                <c:pt idx="2">
                  <c:v>Labor force</c:v>
                </c:pt>
              </c:strCache>
            </c:strRef>
          </c:cat>
          <c:val>
            <c:numRef>
              <c:f>'Other chart data'!$E$2:$G$2</c:f>
              <c:numCache>
                <c:formatCode>_(* #,##0_);_(* \(#,##0\);_(* "-"??_);_(@_)</c:formatCode>
                <c:ptCount val="3"/>
                <c:pt idx="0">
                  <c:v>2421000</c:v>
                </c:pt>
                <c:pt idx="1">
                  <c:v>928000</c:v>
                </c:pt>
                <c:pt idx="2">
                  <c:v>1263000</c:v>
                </c:pt>
              </c:numCache>
            </c:numRef>
          </c:val>
          <c:extLst>
            <c:ext xmlns:c15="http://schemas.microsoft.com/office/drawing/2012/chart" uri="{02D57815-91ED-43cb-92C2-25804820EDAC}">
              <c15:datalabelsRange>
                <c15:f>'Other chart data'!$H$2:$J$2</c15:f>
                <c15:dlblRangeCache>
                  <c:ptCount val="3"/>
                  <c:pt idx="0">
                    <c:v>  2,421,000 in 2020 </c:v>
                  </c:pt>
                  <c:pt idx="1">
                    <c:v> 928,000 in 2020</c:v>
                  </c:pt>
                  <c:pt idx="2">
                    <c:v> 1,263,000 in 2020</c:v>
                  </c:pt>
                </c15:dlblRangeCache>
              </c15:datalabelsRange>
            </c:ext>
            <c:ext xmlns:c16="http://schemas.microsoft.com/office/drawing/2014/chart" uri="{C3380CC4-5D6E-409C-BE32-E72D297353CC}">
              <c16:uniqueId val="{00000001-063B-4929-AB9A-ACD1C18E94C0}"/>
            </c:ext>
          </c:extLst>
        </c:ser>
        <c:ser>
          <c:idx val="1"/>
          <c:order val="1"/>
          <c:tx>
            <c:strRef>
              <c:f>'Other chart data'!$A$4</c:f>
              <c:strCache>
                <c:ptCount val="1"/>
                <c:pt idx="0">
                  <c:v>Change 2020-2050</c:v>
                </c:pt>
              </c:strCache>
            </c:strRef>
          </c:tx>
          <c:spPr>
            <a:solidFill>
              <a:srgbClr val="00B2BF"/>
            </a:solidFill>
            <a:ln>
              <a:noFill/>
            </a:ln>
            <a:effectLst/>
          </c:spPr>
          <c:invertIfNegative val="0"/>
          <c:dLbls>
            <c:dLbl>
              <c:idx val="0"/>
              <c:tx>
                <c:rich>
                  <a:bodyPr/>
                  <a:lstStyle/>
                  <a:p>
                    <a:fld id="{07AA788E-E7ED-47EA-8048-1D1BCE20D4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63B-4929-AB9A-ACD1C18E94C0}"/>
                </c:ext>
              </c:extLst>
            </c:dLbl>
            <c:dLbl>
              <c:idx val="1"/>
              <c:tx>
                <c:rich>
                  <a:bodyPr/>
                  <a:lstStyle/>
                  <a:p>
                    <a:fld id="{7A8016EA-BA00-416C-8DF1-A9C373F781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63B-4929-AB9A-ACD1C18E94C0}"/>
                </c:ext>
              </c:extLst>
            </c:dLbl>
            <c:dLbl>
              <c:idx val="2"/>
              <c:tx>
                <c:rich>
                  <a:bodyPr/>
                  <a:lstStyle/>
                  <a:p>
                    <a:fld id="{C295B06B-C212-438B-AD4C-A6C123EA2C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spPr>
              <a:noFill/>
              <a:ln>
                <a:noFill/>
              </a:ln>
              <a:effectLst/>
            </c:spPr>
            <c:txPr>
              <a:bodyPr rot="0" spcFirstLastPara="1" vertOverflow="ellipsis" vert="horz" wrap="non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'Other chart data'!$B$1:$D$1</c:f>
              <c:strCache>
                <c:ptCount val="3"/>
                <c:pt idx="0">
                  <c:v>Population</c:v>
                </c:pt>
                <c:pt idx="1">
                  <c:v>Households</c:v>
                </c:pt>
                <c:pt idx="2">
                  <c:v>Labor force</c:v>
                </c:pt>
              </c:strCache>
            </c:strRef>
          </c:cat>
          <c:val>
            <c:numRef>
              <c:f>'Other chart data'!$E$4:$G$4</c:f>
              <c:numCache>
                <c:formatCode>_(* #,##0_);_(* \(#,##0\);_(* "-"??_);_(@_)</c:formatCode>
                <c:ptCount val="3"/>
                <c:pt idx="0">
                  <c:v>726000</c:v>
                </c:pt>
                <c:pt idx="1">
                  <c:v>272000</c:v>
                </c:pt>
                <c:pt idx="2">
                  <c:v>357000</c:v>
                </c:pt>
              </c:numCache>
            </c:numRef>
          </c:val>
          <c:extLst>
            <c:ext xmlns:c15="http://schemas.microsoft.com/office/drawing/2012/chart" uri="{02D57815-91ED-43cb-92C2-25804820EDAC}">
              <c15:datalabelsRange>
                <c15:f>'Other chart data'!$H$4:$J$4</c15:f>
                <c15:dlblRangeCache>
                  <c:ptCount val="3"/>
                  <c:pt idx="0">
                    <c:v> + 726,000 (30%) by 2050 </c:v>
                  </c:pt>
                  <c:pt idx="1">
                    <c:v> + 272,000 (29%) by 2050 </c:v>
                  </c:pt>
                  <c:pt idx="2">
                    <c:v> + 357,000 (28%) by 2050 </c:v>
                  </c:pt>
                </c15:dlblRangeCache>
              </c15:datalabelsRange>
            </c:ext>
            <c:ext xmlns:c16="http://schemas.microsoft.com/office/drawing/2014/chart" uri="{C3380CC4-5D6E-409C-BE32-E72D297353CC}">
              <c16:uniqueId val="{00000002-063B-4929-AB9A-ACD1C18E94C0}"/>
            </c:ext>
          </c:extLst>
        </c:ser>
        <c:dLbls>
          <c:showLegendKey val="0"/>
          <c:showVal val="0"/>
          <c:showCatName val="0"/>
          <c:showSerName val="0"/>
          <c:showPercent val="0"/>
          <c:showBubbleSize val="0"/>
        </c:dLbls>
        <c:gapWidth val="13"/>
        <c:overlap val="100"/>
        <c:axId val="361345935"/>
        <c:axId val="361344687"/>
      </c:barChart>
      <c:catAx>
        <c:axId val="36134593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361344687"/>
        <c:crosses val="autoZero"/>
        <c:auto val="1"/>
        <c:lblAlgn val="ctr"/>
        <c:lblOffset val="100"/>
        <c:noMultiLvlLbl val="0"/>
      </c:catAx>
      <c:valAx>
        <c:axId val="361344687"/>
        <c:scaling>
          <c:orientation val="minMax"/>
          <c:max val="3200000"/>
        </c:scaling>
        <c:delete val="1"/>
        <c:axPos val="l"/>
        <c:numFmt formatCode="_(* #,##0_);_(* \(#,##0\);_(* &quot;-&quot;??_);_(@_)" sourceLinked="1"/>
        <c:majorTickMark val="out"/>
        <c:minorTickMark val="none"/>
        <c:tickLblPos val="nextTo"/>
        <c:crossAx val="361345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274320</xdr:colOff>
      <xdr:row>23</xdr:row>
      <xdr:rowOff>11430</xdr:rowOff>
    </xdr:to>
    <xdr:graphicFrame macro="">
      <xdr:nvGraphicFramePr>
        <xdr:cNvPr id="2" name="Chart 1">
          <a:extLst>
            <a:ext uri="{FF2B5EF4-FFF2-40B4-BE49-F238E27FC236}">
              <a16:creationId xmlns:a16="http://schemas.microsoft.com/office/drawing/2014/main" id="{A421C08E-E247-4871-963C-600128E98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179070</xdr:rowOff>
    </xdr:from>
    <xdr:to>
      <xdr:col>13</xdr:col>
      <xdr:colOff>581024</xdr:colOff>
      <xdr:row>42</xdr:row>
      <xdr:rowOff>175260</xdr:rowOff>
    </xdr:to>
    <xdr:graphicFrame macro="">
      <xdr:nvGraphicFramePr>
        <xdr:cNvPr id="3" name="Chart 2">
          <a:extLst>
            <a:ext uri="{FF2B5EF4-FFF2-40B4-BE49-F238E27FC236}">
              <a16:creationId xmlns:a16="http://schemas.microsoft.com/office/drawing/2014/main" id="{7CC8C5DC-3743-9F4E-868B-4EC9E6C63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114301</xdr:rowOff>
    </xdr:from>
    <xdr:to>
      <xdr:col>2</xdr:col>
      <xdr:colOff>657226</xdr:colOff>
      <xdr:row>0</xdr:row>
      <xdr:rowOff>819715</xdr:rowOff>
    </xdr:to>
    <xdr:pic>
      <xdr:nvPicPr>
        <xdr:cNvPr id="2" name="Picture 1">
          <a:extLst>
            <a:ext uri="{FF2B5EF4-FFF2-40B4-BE49-F238E27FC236}">
              <a16:creationId xmlns:a16="http://schemas.microsoft.com/office/drawing/2014/main" id="{381CA941-D3BA-425D-8430-56022F3C82AC}"/>
            </a:ext>
          </a:extLst>
        </xdr:cNvPr>
        <xdr:cNvPicPr>
          <a:picLocks noChangeAspect="1"/>
        </xdr:cNvPicPr>
      </xdr:nvPicPr>
      <xdr:blipFill>
        <a:blip xmlns:r="http://schemas.openxmlformats.org/officeDocument/2006/relationships" r:embed="rId1"/>
        <a:stretch>
          <a:fillRect/>
        </a:stretch>
      </xdr:blipFill>
      <xdr:spPr>
        <a:xfrm>
          <a:off x="1" y="114301"/>
          <a:ext cx="2038350" cy="7054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0</xdr:row>
      <xdr:rowOff>114301</xdr:rowOff>
    </xdr:from>
    <xdr:to>
      <xdr:col>1</xdr:col>
      <xdr:colOff>695326</xdr:colOff>
      <xdr:row>0</xdr:row>
      <xdr:rowOff>819715</xdr:rowOff>
    </xdr:to>
    <xdr:pic>
      <xdr:nvPicPr>
        <xdr:cNvPr id="2" name="Picture 1">
          <a:extLst>
            <a:ext uri="{FF2B5EF4-FFF2-40B4-BE49-F238E27FC236}">
              <a16:creationId xmlns:a16="http://schemas.microsoft.com/office/drawing/2014/main" id="{16F83C79-6FA8-4B84-AD6D-7787F0008461}"/>
            </a:ext>
          </a:extLst>
        </xdr:cNvPr>
        <xdr:cNvPicPr>
          <a:picLocks noChangeAspect="1"/>
        </xdr:cNvPicPr>
      </xdr:nvPicPr>
      <xdr:blipFill>
        <a:blip xmlns:r="http://schemas.openxmlformats.org/officeDocument/2006/relationships" r:embed="rId1"/>
        <a:stretch>
          <a:fillRect/>
        </a:stretch>
      </xdr:blipFill>
      <xdr:spPr>
        <a:xfrm>
          <a:off x="1" y="114301"/>
          <a:ext cx="2038350" cy="7054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0</xdr:row>
      <xdr:rowOff>114301</xdr:rowOff>
    </xdr:from>
    <xdr:to>
      <xdr:col>1</xdr:col>
      <xdr:colOff>695326</xdr:colOff>
      <xdr:row>0</xdr:row>
      <xdr:rowOff>819715</xdr:rowOff>
    </xdr:to>
    <xdr:pic>
      <xdr:nvPicPr>
        <xdr:cNvPr id="2" name="Picture 1">
          <a:extLst>
            <a:ext uri="{FF2B5EF4-FFF2-40B4-BE49-F238E27FC236}">
              <a16:creationId xmlns:a16="http://schemas.microsoft.com/office/drawing/2014/main" id="{2635D672-DE0C-4C66-A6A4-48B3D4643E08}"/>
            </a:ext>
          </a:extLst>
        </xdr:cNvPr>
        <xdr:cNvPicPr>
          <a:picLocks noChangeAspect="1"/>
        </xdr:cNvPicPr>
      </xdr:nvPicPr>
      <xdr:blipFill>
        <a:blip xmlns:r="http://schemas.openxmlformats.org/officeDocument/2006/relationships" r:embed="rId1"/>
        <a:stretch>
          <a:fillRect/>
        </a:stretch>
      </xdr:blipFill>
      <xdr:spPr>
        <a:xfrm>
          <a:off x="1" y="114301"/>
          <a:ext cx="2038350" cy="7054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12AB6-2A0E-44C8-A075-0D65723AA5EA}">
  <dimension ref="A1"/>
  <sheetViews>
    <sheetView topLeftCell="A11" workbookViewId="0">
      <selection activeCell="P31" sqref="P31"/>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43B8F-1EF4-4BAC-9126-165AD0981F7C}">
  <dimension ref="A1:Q76"/>
  <sheetViews>
    <sheetView topLeftCell="A37" workbookViewId="0">
      <selection activeCell="H66" sqref="H66"/>
    </sheetView>
  </sheetViews>
  <sheetFormatPr defaultRowHeight="15" x14ac:dyDescent="0.25"/>
  <cols>
    <col min="2" max="2" width="19.7109375" bestFit="1" customWidth="1"/>
  </cols>
  <sheetData>
    <row r="1" spans="1:17" x14ac:dyDescent="0.25">
      <c r="A1" t="s">
        <v>63</v>
      </c>
      <c r="B1" t="s">
        <v>10</v>
      </c>
      <c r="C1">
        <v>1980</v>
      </c>
      <c r="D1">
        <v>1990</v>
      </c>
      <c r="E1">
        <v>2000</v>
      </c>
      <c r="F1">
        <v>2010</v>
      </c>
      <c r="G1">
        <v>2020</v>
      </c>
      <c r="H1">
        <v>2021</v>
      </c>
      <c r="I1">
        <v>2025</v>
      </c>
      <c r="J1">
        <v>2030</v>
      </c>
      <c r="K1">
        <v>2035</v>
      </c>
      <c r="L1">
        <v>2040</v>
      </c>
      <c r="M1">
        <v>2045</v>
      </c>
      <c r="N1">
        <v>2050</v>
      </c>
      <c r="O1" t="s">
        <v>73</v>
      </c>
      <c r="P1" t="s">
        <v>74</v>
      </c>
      <c r="Q1" t="s">
        <v>75</v>
      </c>
    </row>
    <row r="2" spans="1:17" x14ac:dyDescent="0.25">
      <c r="A2" t="s">
        <v>3</v>
      </c>
      <c r="B2" t="s">
        <v>60</v>
      </c>
      <c r="C2">
        <f>'Total Population'!B5</f>
        <v>53840</v>
      </c>
      <c r="D2">
        <f>'Total Population'!C5</f>
        <v>67482</v>
      </c>
      <c r="E2">
        <f>'Total Population'!D5</f>
        <v>111759</v>
      </c>
      <c r="F2">
        <f>'Total Population'!E5</f>
        <v>175099</v>
      </c>
      <c r="G2">
        <f>'Total Population'!F5</f>
        <v>215062</v>
      </c>
      <c r="H2">
        <f>'Total Population'!G5</f>
        <v>220740</v>
      </c>
    </row>
    <row r="3" spans="1:17" x14ac:dyDescent="0.25">
      <c r="A3" t="s">
        <v>3</v>
      </c>
      <c r="B3" t="s">
        <v>61</v>
      </c>
      <c r="I3">
        <f>'Total Population'!H5</f>
        <v>247016</v>
      </c>
      <c r="J3">
        <f>'Total Population'!M5</f>
        <v>277484</v>
      </c>
      <c r="K3">
        <f>'Total Population'!R5</f>
        <v>310863</v>
      </c>
      <c r="L3">
        <f>'Total Population'!W5</f>
        <v>340917</v>
      </c>
      <c r="M3">
        <f>'Total Population'!AB5</f>
        <v>369307</v>
      </c>
      <c r="N3">
        <f>'Total Population'!AG5</f>
        <v>397697</v>
      </c>
    </row>
    <row r="4" spans="1:17" x14ac:dyDescent="0.25">
      <c r="A4" t="s">
        <v>3</v>
      </c>
      <c r="B4" t="s">
        <v>62</v>
      </c>
      <c r="I4" s="53">
        <f>'Total Population'!I5</f>
        <v>248441</v>
      </c>
      <c r="J4" s="53">
        <f>'Total Population'!N5</f>
        <v>287218</v>
      </c>
      <c r="K4" s="53">
        <f>'Total Population'!S5</f>
        <v>329249</v>
      </c>
      <c r="L4" s="53">
        <f>'Total Population'!X5</f>
        <v>373888</v>
      </c>
      <c r="M4" s="53">
        <f>'Total Population'!AC5</f>
        <v>420768</v>
      </c>
      <c r="N4" s="53">
        <f>'Total Population'!AH5</f>
        <v>469644</v>
      </c>
    </row>
    <row r="5" spans="1:17" x14ac:dyDescent="0.25">
      <c r="A5" t="s">
        <v>3</v>
      </c>
      <c r="B5" t="s">
        <v>62</v>
      </c>
      <c r="I5" s="53">
        <f>'Total Population'!J5</f>
        <v>238464</v>
      </c>
      <c r="J5" s="53">
        <f>'Total Population'!O5</f>
        <v>256467</v>
      </c>
      <c r="K5" s="53">
        <f>'Total Population'!T5</f>
        <v>271216</v>
      </c>
      <c r="L5" s="53">
        <f>'Total Population'!Y5</f>
        <v>283357</v>
      </c>
      <c r="M5" s="53">
        <f>'Total Population'!AD5</f>
        <v>293257</v>
      </c>
      <c r="N5" s="53">
        <f>'Total Population'!AI5</f>
        <v>301161</v>
      </c>
    </row>
    <row r="6" spans="1:17" x14ac:dyDescent="0.25">
      <c r="A6" t="s">
        <v>4</v>
      </c>
      <c r="B6" t="s">
        <v>60</v>
      </c>
      <c r="C6">
        <f>'Total Population'!B6</f>
        <v>93678</v>
      </c>
      <c r="D6">
        <f>'Total Population'!C6</f>
        <v>103823</v>
      </c>
      <c r="E6">
        <f>'Total Population'!D6</f>
        <v>123485</v>
      </c>
      <c r="F6">
        <f>'Total Population'!E6</f>
        <v>146417</v>
      </c>
      <c r="G6">
        <f>'Total Population'!F6</f>
        <v>159357</v>
      </c>
      <c r="H6">
        <f>'Total Population'!G6</f>
        <v>161064</v>
      </c>
    </row>
    <row r="7" spans="1:17" x14ac:dyDescent="0.25">
      <c r="A7" t="s">
        <v>4</v>
      </c>
      <c r="B7" t="s">
        <v>61</v>
      </c>
      <c r="I7">
        <f>'Total Population'!H6</f>
        <v>169183</v>
      </c>
      <c r="J7">
        <f>'Total Population'!M6</f>
        <v>178449</v>
      </c>
      <c r="K7">
        <f>'Total Population'!R6</f>
        <v>188820</v>
      </c>
      <c r="L7">
        <f>'Total Population'!W6</f>
        <v>197928</v>
      </c>
      <c r="M7">
        <f>'Total Population'!AB6</f>
        <v>206404</v>
      </c>
      <c r="N7">
        <f>'Total Population'!AG6</f>
        <v>214880</v>
      </c>
    </row>
    <row r="8" spans="1:17" x14ac:dyDescent="0.25">
      <c r="A8" t="s">
        <v>4</v>
      </c>
      <c r="B8" t="s">
        <v>62</v>
      </c>
      <c r="I8" s="53">
        <f>'Total Population'!I6</f>
        <v>171704</v>
      </c>
      <c r="J8" s="53">
        <f>'Total Population'!N6</f>
        <v>188541</v>
      </c>
      <c r="K8" s="53">
        <f>'Total Population'!S6</f>
        <v>208055</v>
      </c>
      <c r="L8" s="53">
        <f>'Total Population'!X6</f>
        <v>229705</v>
      </c>
      <c r="M8" s="53">
        <f>'Total Population'!AC6</f>
        <v>253189</v>
      </c>
      <c r="N8" s="53">
        <f>'Total Population'!AH6</f>
        <v>278304</v>
      </c>
    </row>
    <row r="9" spans="1:17" x14ac:dyDescent="0.25">
      <c r="A9" t="s">
        <v>4</v>
      </c>
      <c r="B9" t="s">
        <v>62</v>
      </c>
      <c r="I9" s="53">
        <f>'Total Population'!J6</f>
        <v>163990</v>
      </c>
      <c r="J9" s="53">
        <f>'Total Population'!O6</f>
        <v>164104</v>
      </c>
      <c r="K9" s="53">
        <f>'Total Population'!T6</f>
        <v>161542</v>
      </c>
      <c r="L9" s="53">
        <f>'Total Population'!Y6</f>
        <v>156843</v>
      </c>
      <c r="M9" s="53">
        <f>'Total Population'!AD6</f>
        <v>150311</v>
      </c>
      <c r="N9" s="53">
        <f>'Total Population'!AI6</f>
        <v>142147</v>
      </c>
    </row>
    <row r="10" spans="1:17" x14ac:dyDescent="0.25">
      <c r="A10" t="s">
        <v>12</v>
      </c>
      <c r="B10" t="s">
        <v>60</v>
      </c>
      <c r="C10">
        <f>'Total Population'!B7</f>
        <v>27467</v>
      </c>
      <c r="D10">
        <f>'Total Population'!C7</f>
        <v>27501</v>
      </c>
      <c r="E10">
        <f>'Total Population'!D7</f>
        <v>28495</v>
      </c>
      <c r="F10">
        <f>'Total Population'!E7</f>
        <v>29014</v>
      </c>
      <c r="G10">
        <f>'Total Population'!F7</f>
        <v>28939</v>
      </c>
      <c r="H10">
        <f>'Total Population'!G7</f>
        <v>28906</v>
      </c>
    </row>
    <row r="11" spans="1:17" x14ac:dyDescent="0.25">
      <c r="A11" t="s">
        <v>12</v>
      </c>
      <c r="B11" t="s">
        <v>61</v>
      </c>
      <c r="I11">
        <f>'Total Population'!H7</f>
        <v>29419</v>
      </c>
      <c r="J11">
        <f>'Total Population'!M7</f>
        <v>30011</v>
      </c>
      <c r="K11">
        <f>'Total Population'!R7</f>
        <v>30634</v>
      </c>
      <c r="L11">
        <f>'Total Population'!W7</f>
        <v>31220</v>
      </c>
      <c r="M11">
        <f>'Total Population'!AB7</f>
        <v>31790</v>
      </c>
      <c r="N11">
        <f>'Total Population'!AG7</f>
        <v>32360</v>
      </c>
    </row>
    <row r="12" spans="1:17" x14ac:dyDescent="0.25">
      <c r="A12" t="s">
        <v>12</v>
      </c>
      <c r="B12" t="s">
        <v>62</v>
      </c>
      <c r="I12" s="53">
        <f>'Total Population'!I7</f>
        <v>29855</v>
      </c>
      <c r="J12" s="53">
        <f>'Total Population'!N7</f>
        <v>31216</v>
      </c>
      <c r="K12" s="53">
        <f>'Total Population'!S7</f>
        <v>32814</v>
      </c>
      <c r="L12" s="53">
        <f>'Total Population'!X7</f>
        <v>34594</v>
      </c>
      <c r="M12" s="53">
        <f>'Total Population'!AC7</f>
        <v>36534</v>
      </c>
      <c r="N12" s="53">
        <f>'Total Population'!AH7</f>
        <v>38618</v>
      </c>
    </row>
    <row r="13" spans="1:17" x14ac:dyDescent="0.25">
      <c r="A13" t="s">
        <v>12</v>
      </c>
      <c r="B13" t="s">
        <v>62</v>
      </c>
      <c r="I13" s="53">
        <f>'Total Population'!J7</f>
        <v>28912</v>
      </c>
      <c r="J13" s="53">
        <f>'Total Population'!O7</f>
        <v>28691</v>
      </c>
      <c r="K13" s="53">
        <f>'Total Population'!T7</f>
        <v>28240</v>
      </c>
      <c r="L13" s="53">
        <f>'Total Population'!Y7</f>
        <v>27601</v>
      </c>
      <c r="M13" s="53">
        <f>'Total Population'!AD7</f>
        <v>26802</v>
      </c>
      <c r="N13" s="53">
        <f>'Total Population'!AI7</f>
        <v>25859</v>
      </c>
    </row>
    <row r="14" spans="1:17" x14ac:dyDescent="0.25">
      <c r="A14" t="s">
        <v>5</v>
      </c>
      <c r="B14" t="s">
        <v>60</v>
      </c>
      <c r="C14">
        <f>'Total Population'!B8</f>
        <v>869126</v>
      </c>
      <c r="D14">
        <f>'Total Population'!C8</f>
        <v>965600</v>
      </c>
      <c r="E14">
        <f>'Total Population'!D8</f>
        <v>1072018</v>
      </c>
      <c r="F14">
        <f>'Total Population'!E8</f>
        <v>1166202</v>
      </c>
      <c r="G14">
        <f>'Total Population'!F8</f>
        <v>1324013</v>
      </c>
      <c r="H14">
        <f>'Total Population'!G8</f>
        <v>1321414</v>
      </c>
    </row>
    <row r="15" spans="1:17" x14ac:dyDescent="0.25">
      <c r="A15" t="s">
        <v>5</v>
      </c>
      <c r="B15" t="s">
        <v>61</v>
      </c>
      <c r="I15">
        <f>'Total Population'!H8</f>
        <v>1390127</v>
      </c>
      <c r="J15">
        <f>'Total Population'!M8</f>
        <v>1447090</v>
      </c>
      <c r="K15">
        <f>'Total Population'!R8</f>
        <v>1519844</v>
      </c>
      <c r="L15">
        <f>'Total Population'!W8</f>
        <v>1574551</v>
      </c>
      <c r="M15">
        <f>'Total Population'!AB8</f>
        <v>1620232</v>
      </c>
      <c r="N15">
        <f>'Total Population'!AG8</f>
        <v>1665914</v>
      </c>
    </row>
    <row r="16" spans="1:17" x14ac:dyDescent="0.25">
      <c r="A16" t="s">
        <v>5</v>
      </c>
      <c r="B16" t="s">
        <v>62</v>
      </c>
      <c r="I16" s="53">
        <f>'Total Population'!I8</f>
        <v>1409654</v>
      </c>
      <c r="J16" s="53">
        <f>'Total Population'!N8</f>
        <v>1506988</v>
      </c>
      <c r="K16" s="53">
        <f>'Total Population'!S8</f>
        <v>1617180</v>
      </c>
      <c r="L16" s="53">
        <f>'Total Population'!X8</f>
        <v>1738045</v>
      </c>
      <c r="M16" s="53">
        <f>'Total Population'!AC8</f>
        <v>1868239</v>
      </c>
      <c r="N16" s="53">
        <f>'Total Population'!AH8</f>
        <v>2006828</v>
      </c>
    </row>
    <row r="17" spans="1:14" x14ac:dyDescent="0.25">
      <c r="A17" t="s">
        <v>5</v>
      </c>
      <c r="B17" t="s">
        <v>62</v>
      </c>
      <c r="I17" s="53">
        <f>'Total Population'!J8</f>
        <v>1333445</v>
      </c>
      <c r="J17" s="53">
        <f>'Total Population'!O8</f>
        <v>1327469</v>
      </c>
      <c r="K17" s="53">
        <f>'Total Population'!T8</f>
        <v>1308636</v>
      </c>
      <c r="L17" s="53">
        <f>'Total Population'!Y8</f>
        <v>1279131</v>
      </c>
      <c r="M17" s="53">
        <f>'Total Population'!AD8</f>
        <v>1240296</v>
      </c>
      <c r="N17" s="53">
        <f>'Total Population'!AI8</f>
        <v>1193066</v>
      </c>
    </row>
    <row r="18" spans="1:14" x14ac:dyDescent="0.25">
      <c r="A18" t="s">
        <v>13</v>
      </c>
      <c r="B18" t="s">
        <v>60</v>
      </c>
      <c r="C18">
        <f>'Total Population'!B9</f>
        <v>24304</v>
      </c>
      <c r="D18">
        <f>'Total Population'!C9</f>
        <v>25594</v>
      </c>
      <c r="E18">
        <f>'Total Population'!D9</f>
        <v>28262</v>
      </c>
      <c r="F18">
        <f>'Total Population'!E9</f>
        <v>29478</v>
      </c>
      <c r="G18">
        <f>'Total Population'!F9</f>
        <v>27999</v>
      </c>
      <c r="H18">
        <f>'Total Population'!G9</f>
        <v>28097</v>
      </c>
    </row>
    <row r="19" spans="1:14" x14ac:dyDescent="0.25">
      <c r="A19" t="s">
        <v>13</v>
      </c>
      <c r="B19" t="s">
        <v>61</v>
      </c>
      <c r="I19">
        <f>'Total Population'!H9</f>
        <v>27965</v>
      </c>
      <c r="J19">
        <f>'Total Population'!M9</f>
        <v>27762</v>
      </c>
      <c r="K19">
        <f>'Total Population'!R9</f>
        <v>27629</v>
      </c>
      <c r="L19">
        <f>'Total Population'!W9</f>
        <v>27428</v>
      </c>
      <c r="M19">
        <f>'Total Population'!AB9</f>
        <v>27190</v>
      </c>
      <c r="N19">
        <f>'Total Population'!AG9</f>
        <v>26953</v>
      </c>
    </row>
    <row r="20" spans="1:14" x14ac:dyDescent="0.25">
      <c r="A20" t="s">
        <v>13</v>
      </c>
      <c r="B20" t="s">
        <v>62</v>
      </c>
      <c r="I20" s="53">
        <f>'Total Population'!I9</f>
        <v>28660</v>
      </c>
      <c r="J20" s="53">
        <f>'Total Population'!N9</f>
        <v>29751</v>
      </c>
      <c r="K20" s="53">
        <f>'Total Population'!S9</f>
        <v>31239</v>
      </c>
      <c r="L20" s="53">
        <f>'Total Population'!X9</f>
        <v>33041</v>
      </c>
      <c r="M20" s="53">
        <f>'Total Population'!AC9</f>
        <v>35114</v>
      </c>
      <c r="N20" s="53">
        <f>'Total Population'!AH9</f>
        <v>37429</v>
      </c>
    </row>
    <row r="21" spans="1:14" x14ac:dyDescent="0.25">
      <c r="A21" t="s">
        <v>13</v>
      </c>
      <c r="B21" t="s">
        <v>62</v>
      </c>
      <c r="I21" s="53">
        <f>'Total Population'!J9</f>
        <v>27122</v>
      </c>
      <c r="J21" s="53">
        <f>'Total Population'!O9</f>
        <v>25535</v>
      </c>
      <c r="K21" s="53">
        <f>'Total Population'!T9</f>
        <v>23571</v>
      </c>
      <c r="L21" s="53">
        <f>'Total Population'!Y9</f>
        <v>21295</v>
      </c>
      <c r="M21" s="53">
        <f>'Total Population'!AD9</f>
        <v>18747</v>
      </c>
      <c r="N21" s="53">
        <f>'Total Population'!AI9</f>
        <v>15958</v>
      </c>
    </row>
    <row r="22" spans="1:14" x14ac:dyDescent="0.25">
      <c r="A22" t="s">
        <v>14</v>
      </c>
      <c r="B22" t="s">
        <v>60</v>
      </c>
      <c r="C22">
        <f>'Total Population'!B10</f>
        <v>46304</v>
      </c>
      <c r="D22">
        <f>'Total Population'!C10</f>
        <v>47637</v>
      </c>
      <c r="E22">
        <f>'Total Population'!D10</f>
        <v>54616</v>
      </c>
      <c r="F22">
        <f>'Total Population'!E10</f>
        <v>61090</v>
      </c>
      <c r="G22">
        <f>'Total Population'!F10</f>
        <v>62765</v>
      </c>
      <c r="H22">
        <f>'Total Population'!G10</f>
        <v>62897</v>
      </c>
    </row>
    <row r="23" spans="1:14" x14ac:dyDescent="0.25">
      <c r="A23" t="s">
        <v>14</v>
      </c>
      <c r="B23" t="s">
        <v>61</v>
      </c>
      <c r="I23">
        <f>'Total Population'!H10</f>
        <v>64157</v>
      </c>
      <c r="J23">
        <f>'Total Population'!M10</f>
        <v>65339</v>
      </c>
      <c r="K23">
        <f>'Total Population'!R10</f>
        <v>67013</v>
      </c>
      <c r="L23">
        <f>'Total Population'!W10</f>
        <v>68125</v>
      </c>
      <c r="M23">
        <f>'Total Population'!AB10</f>
        <v>68957</v>
      </c>
      <c r="N23">
        <f>'Total Population'!AG10</f>
        <v>69790</v>
      </c>
    </row>
    <row r="24" spans="1:14" x14ac:dyDescent="0.25">
      <c r="A24" t="s">
        <v>14</v>
      </c>
      <c r="B24" t="s">
        <v>62</v>
      </c>
      <c r="I24" s="53">
        <f>'Total Population'!I10</f>
        <v>65164</v>
      </c>
      <c r="J24" s="53">
        <f>'Total Population'!N10</f>
        <v>69227</v>
      </c>
      <c r="K24" s="53">
        <f>'Total Population'!S10</f>
        <v>74288</v>
      </c>
      <c r="L24" s="53">
        <f>'Total Population'!X10</f>
        <v>80150</v>
      </c>
      <c r="M24" s="53">
        <f>'Total Population'!AC10</f>
        <v>86702</v>
      </c>
      <c r="N24" s="53">
        <f>'Total Population'!AH10</f>
        <v>93868</v>
      </c>
    </row>
    <row r="25" spans="1:14" x14ac:dyDescent="0.25">
      <c r="A25" t="s">
        <v>14</v>
      </c>
      <c r="B25" t="s">
        <v>62</v>
      </c>
      <c r="I25" s="53">
        <f>'Total Population'!J10</f>
        <v>61970</v>
      </c>
      <c r="J25" s="53">
        <f>'Total Population'!O10</f>
        <v>59572</v>
      </c>
      <c r="K25" s="53">
        <f>'Total Population'!T10</f>
        <v>56176</v>
      </c>
      <c r="L25" s="53">
        <f>'Total Population'!Y10</f>
        <v>51978</v>
      </c>
      <c r="M25" s="53">
        <f>'Total Population'!AD10</f>
        <v>47091</v>
      </c>
      <c r="N25" s="53">
        <f>'Total Population'!AI10</f>
        <v>41589</v>
      </c>
    </row>
    <row r="26" spans="1:14" x14ac:dyDescent="0.25">
      <c r="A26" t="s">
        <v>6</v>
      </c>
      <c r="B26" t="s">
        <v>60</v>
      </c>
      <c r="C26">
        <f>'Total Population'!B11</f>
        <v>120981</v>
      </c>
      <c r="D26">
        <f>'Total Population'!C11</f>
        <v>129006</v>
      </c>
      <c r="E26">
        <f>'Total Population'!D11</f>
        <v>146268</v>
      </c>
      <c r="F26">
        <f>'Total Population'!E11</f>
        <v>166705</v>
      </c>
      <c r="G26">
        <f>'Total Population'!F11</f>
        <v>178680</v>
      </c>
      <c r="H26">
        <f>'Total Population'!G11</f>
        <v>180401</v>
      </c>
    </row>
    <row r="27" spans="1:14" x14ac:dyDescent="0.25">
      <c r="A27" t="s">
        <v>6</v>
      </c>
      <c r="B27" t="s">
        <v>61</v>
      </c>
      <c r="I27">
        <f>'Total Population'!H11</f>
        <v>190915</v>
      </c>
      <c r="J27">
        <f>'Total Population'!M11</f>
        <v>200710</v>
      </c>
      <c r="K27">
        <f>'Total Population'!R11</f>
        <v>216962</v>
      </c>
      <c r="L27">
        <f>'Total Population'!W11</f>
        <v>225833</v>
      </c>
      <c r="M27">
        <f>'Total Population'!AB11</f>
        <v>231017</v>
      </c>
      <c r="N27">
        <f>'Total Population'!AG11</f>
        <v>236202</v>
      </c>
    </row>
    <row r="28" spans="1:14" x14ac:dyDescent="0.25">
      <c r="A28" t="s">
        <v>6</v>
      </c>
      <c r="B28" t="s">
        <v>62</v>
      </c>
      <c r="I28" s="53">
        <f>'Total Population'!I11</f>
        <v>189312</v>
      </c>
      <c r="J28" s="53">
        <f>'Total Population'!N11</f>
        <v>203164</v>
      </c>
      <c r="K28" s="53">
        <f>'Total Population'!S11</f>
        <v>219200</v>
      </c>
      <c r="L28" s="53">
        <f>'Total Population'!X11</f>
        <v>237045</v>
      </c>
      <c r="M28" s="53">
        <f>'Total Population'!AC11</f>
        <v>256471</v>
      </c>
      <c r="N28" s="53">
        <f>'Total Population'!AH11</f>
        <v>277319</v>
      </c>
    </row>
    <row r="29" spans="1:14" x14ac:dyDescent="0.25">
      <c r="A29" t="s">
        <v>6</v>
      </c>
      <c r="B29" t="s">
        <v>62</v>
      </c>
      <c r="I29" s="53">
        <f>'Total Population'!J11</f>
        <v>176808</v>
      </c>
      <c r="J29" s="53">
        <f>'Total Population'!O11</f>
        <v>173324</v>
      </c>
      <c r="K29" s="53">
        <f>'Total Population'!T11</f>
        <v>167658</v>
      </c>
      <c r="L29" s="53">
        <f>'Total Population'!Y11</f>
        <v>160181</v>
      </c>
      <c r="M29" s="53">
        <f>'Total Population'!AD11</f>
        <v>151123</v>
      </c>
      <c r="N29" s="53">
        <f>'Total Population'!AI11</f>
        <v>140644</v>
      </c>
    </row>
    <row r="30" spans="1:14" x14ac:dyDescent="0.25">
      <c r="A30" t="s">
        <v>15</v>
      </c>
      <c r="B30" t="s">
        <v>60</v>
      </c>
      <c r="C30">
        <f>'Total Population'!B12</f>
        <v>39155</v>
      </c>
      <c r="D30">
        <f>'Total Population'!C12</f>
        <v>42417</v>
      </c>
      <c r="E30">
        <f>'Total Population'!D12</f>
        <v>45984</v>
      </c>
      <c r="F30">
        <f>'Total Population'!E12</f>
        <v>45743</v>
      </c>
      <c r="G30">
        <f>'Total Population'!F12</f>
        <v>46065</v>
      </c>
      <c r="H30">
        <f>'Total Population'!G12</f>
        <v>46035</v>
      </c>
    </row>
    <row r="31" spans="1:14" x14ac:dyDescent="0.25">
      <c r="A31" t="s">
        <v>15</v>
      </c>
      <c r="B31" t="s">
        <v>61</v>
      </c>
      <c r="I31">
        <f>'Total Population'!H12</f>
        <v>46095</v>
      </c>
      <c r="J31">
        <f>'Total Population'!M12</f>
        <v>46407</v>
      </c>
      <c r="K31">
        <f>'Total Population'!R12</f>
        <v>46763</v>
      </c>
      <c r="L31">
        <f>'Total Population'!W12</f>
        <v>47058</v>
      </c>
      <c r="M31">
        <f>'Total Population'!AB12</f>
        <v>47335</v>
      </c>
      <c r="N31">
        <f>'Total Population'!AG12</f>
        <v>47611</v>
      </c>
    </row>
    <row r="32" spans="1:14" x14ac:dyDescent="0.25">
      <c r="A32" t="s">
        <v>15</v>
      </c>
      <c r="B32" t="s">
        <v>62</v>
      </c>
      <c r="I32" s="53">
        <f>'Total Population'!I12</f>
        <v>47290</v>
      </c>
      <c r="J32" s="53">
        <f>'Total Population'!N12</f>
        <v>49351</v>
      </c>
      <c r="K32" s="53">
        <f>'Total Population'!S12</f>
        <v>51833</v>
      </c>
      <c r="L32" s="53">
        <f>'Total Population'!X12</f>
        <v>54679</v>
      </c>
      <c r="M32" s="53">
        <f>'Total Population'!AC12</f>
        <v>57844</v>
      </c>
      <c r="N32" s="53">
        <f>'Total Population'!AH12</f>
        <v>61297</v>
      </c>
    </row>
    <row r="33" spans="1:14" x14ac:dyDescent="0.25">
      <c r="A33" t="s">
        <v>15</v>
      </c>
      <c r="B33" t="s">
        <v>62</v>
      </c>
      <c r="I33" s="53">
        <f>'Total Population'!J12</f>
        <v>44871</v>
      </c>
      <c r="J33" s="53">
        <f>'Total Population'!O12</f>
        <v>43377</v>
      </c>
      <c r="K33" s="53">
        <f>'Total Population'!T12</f>
        <v>41448</v>
      </c>
      <c r="L33" s="53">
        <f>'Total Population'!Y12</f>
        <v>39156</v>
      </c>
      <c r="M33" s="53">
        <f>'Total Population'!AD12</f>
        <v>36544</v>
      </c>
      <c r="N33" s="53">
        <f>'Total Population'!AI12</f>
        <v>33644</v>
      </c>
    </row>
    <row r="34" spans="1:14" x14ac:dyDescent="0.25">
      <c r="A34" t="s">
        <v>7</v>
      </c>
      <c r="B34" t="s">
        <v>60</v>
      </c>
      <c r="C34">
        <f>'Total Population'!B13</f>
        <v>33004</v>
      </c>
      <c r="D34">
        <f>'Total Population'!C13</f>
        <v>37111</v>
      </c>
      <c r="E34">
        <f>'Total Population'!D13</f>
        <v>40218</v>
      </c>
      <c r="F34">
        <f>'Total Population'!E13</f>
        <v>43434</v>
      </c>
      <c r="G34">
        <f>'Total Population'!F13</f>
        <v>43823</v>
      </c>
      <c r="H34">
        <f>'Total Population'!G13</f>
        <v>44386</v>
      </c>
    </row>
    <row r="35" spans="1:14" x14ac:dyDescent="0.25">
      <c r="A35" t="s">
        <v>7</v>
      </c>
      <c r="B35" t="s">
        <v>61</v>
      </c>
      <c r="I35">
        <f>'Total Population'!H13</f>
        <v>46487</v>
      </c>
      <c r="J35">
        <f>'Total Population'!M13</f>
        <v>48833</v>
      </c>
      <c r="K35">
        <f>'Total Population'!R13</f>
        <v>51412</v>
      </c>
      <c r="L35">
        <f>'Total Population'!W13</f>
        <v>53726</v>
      </c>
      <c r="M35">
        <f>'Total Population'!AB13</f>
        <v>55905</v>
      </c>
      <c r="N35">
        <f>'Total Population'!AG13</f>
        <v>58084</v>
      </c>
    </row>
    <row r="36" spans="1:14" x14ac:dyDescent="0.25">
      <c r="A36" t="s">
        <v>7</v>
      </c>
      <c r="B36" t="s">
        <v>62</v>
      </c>
      <c r="I36" s="53">
        <f>'Total Population'!I13</f>
        <v>49508</v>
      </c>
      <c r="J36" s="53">
        <f>'Total Population'!N13</f>
        <v>58168</v>
      </c>
      <c r="K36" s="53">
        <f>'Total Population'!S13</f>
        <v>68798</v>
      </c>
      <c r="L36" s="53">
        <f>'Total Population'!X13</f>
        <v>81014</v>
      </c>
      <c r="M36" s="53">
        <f>'Total Population'!AC13</f>
        <v>94597</v>
      </c>
      <c r="N36" s="53">
        <f>'Total Population'!AH13</f>
        <v>109400</v>
      </c>
    </row>
    <row r="37" spans="1:14" x14ac:dyDescent="0.25">
      <c r="A37" t="s">
        <v>7</v>
      </c>
      <c r="B37" t="s">
        <v>62</v>
      </c>
      <c r="I37" s="53">
        <f>'Total Population'!J13</f>
        <v>42918</v>
      </c>
      <c r="J37" s="53">
        <f>'Total Population'!O13</f>
        <v>38616</v>
      </c>
      <c r="K37" s="53">
        <f>'Total Population'!T13</f>
        <v>32345</v>
      </c>
      <c r="L37" s="53">
        <f>'Total Population'!Y13</f>
        <v>24486</v>
      </c>
      <c r="M37" s="53">
        <f>'Total Population'!AD13</f>
        <v>15261</v>
      </c>
      <c r="N37" s="53">
        <f>'Total Population'!AI13</f>
        <v>4816</v>
      </c>
    </row>
    <row r="38" spans="1:14" x14ac:dyDescent="0.25">
      <c r="A38" t="s">
        <v>16</v>
      </c>
      <c r="B38" t="s">
        <v>60</v>
      </c>
      <c r="C38">
        <f>'Total Population'!B14</f>
        <v>67974</v>
      </c>
      <c r="D38">
        <f>'Total Population'!C14</f>
        <v>64289</v>
      </c>
      <c r="E38">
        <f>'Total Population'!D14</f>
        <v>66135</v>
      </c>
      <c r="F38">
        <f>'Total Population'!E14</f>
        <v>66458</v>
      </c>
      <c r="G38">
        <f>'Total Population'!F14</f>
        <v>65363</v>
      </c>
      <c r="H38">
        <f>'Total Population'!G14</f>
        <v>65291</v>
      </c>
    </row>
    <row r="39" spans="1:14" x14ac:dyDescent="0.25">
      <c r="A39" t="s">
        <v>16</v>
      </c>
      <c r="B39" t="s">
        <v>61</v>
      </c>
      <c r="I39">
        <f>'Total Population'!H14</f>
        <v>65314</v>
      </c>
      <c r="J39">
        <f>'Total Population'!M14</f>
        <v>65160</v>
      </c>
      <c r="K39">
        <f>'Total Population'!R14</f>
        <v>65246</v>
      </c>
      <c r="L39">
        <f>'Total Population'!W14</f>
        <v>65059</v>
      </c>
      <c r="M39">
        <f>'Total Population'!AB14</f>
        <v>64732</v>
      </c>
      <c r="N39">
        <f>'Total Population'!AG14</f>
        <v>64405</v>
      </c>
    </row>
    <row r="40" spans="1:14" x14ac:dyDescent="0.25">
      <c r="A40" t="s">
        <v>16</v>
      </c>
      <c r="B40" t="s">
        <v>62</v>
      </c>
      <c r="I40" s="53">
        <f>'Total Population'!I14</f>
        <v>66329</v>
      </c>
      <c r="J40" s="53">
        <f>'Total Population'!N14</f>
        <v>66651</v>
      </c>
      <c r="K40" s="53">
        <f>'Total Population'!S14</f>
        <v>66806</v>
      </c>
      <c r="L40" s="53">
        <f>'Total Population'!X14</f>
        <v>66879</v>
      </c>
      <c r="M40" s="53">
        <f>'Total Population'!AC14</f>
        <v>66903</v>
      </c>
      <c r="N40" s="53">
        <f>'Total Population'!AH14</f>
        <v>66892</v>
      </c>
    </row>
    <row r="41" spans="1:14" x14ac:dyDescent="0.25">
      <c r="A41" t="s">
        <v>16</v>
      </c>
      <c r="B41" t="s">
        <v>62</v>
      </c>
      <c r="I41" s="53">
        <f>'Total Population'!J14</f>
        <v>63731</v>
      </c>
      <c r="J41" s="53">
        <f>'Total Population'!O14</f>
        <v>62754</v>
      </c>
      <c r="K41" s="53">
        <f>'Total Population'!T14</f>
        <v>61945</v>
      </c>
      <c r="L41" s="53">
        <f>'Total Population'!Y14</f>
        <v>61217</v>
      </c>
      <c r="M41" s="53">
        <f>'Total Population'!AD14</f>
        <v>60539</v>
      </c>
      <c r="N41" s="53">
        <f>'Total Population'!AI14</f>
        <v>59896</v>
      </c>
    </row>
    <row r="42" spans="1:14" x14ac:dyDescent="0.25">
      <c r="A42" t="s">
        <v>17</v>
      </c>
      <c r="B42" t="s">
        <v>60</v>
      </c>
      <c r="C42">
        <f>'Total Population'!B15</f>
        <v>26480</v>
      </c>
      <c r="D42">
        <f>'Total Population'!C15</f>
        <v>27784</v>
      </c>
      <c r="E42">
        <f>'Total Population'!D15</f>
        <v>31813</v>
      </c>
      <c r="F42">
        <f>'Total Population'!E15</f>
        <v>34790</v>
      </c>
      <c r="G42">
        <f>'Total Population'!F15</f>
        <v>34964</v>
      </c>
      <c r="H42">
        <f>'Total Population'!G15</f>
        <v>35151</v>
      </c>
    </row>
    <row r="43" spans="1:14" x14ac:dyDescent="0.25">
      <c r="A43" t="s">
        <v>17</v>
      </c>
      <c r="B43" t="s">
        <v>61</v>
      </c>
      <c r="I43">
        <f>'Total Population'!H15</f>
        <v>36425</v>
      </c>
      <c r="J43">
        <f>'Total Population'!M15</f>
        <v>37666</v>
      </c>
      <c r="K43">
        <f>'Total Population'!R15</f>
        <v>39338</v>
      </c>
      <c r="L43">
        <f>'Total Population'!W15</f>
        <v>40519</v>
      </c>
      <c r="M43">
        <f>'Total Population'!AB15</f>
        <v>41454</v>
      </c>
      <c r="N43">
        <f>'Total Population'!AG15</f>
        <v>42389</v>
      </c>
    </row>
    <row r="44" spans="1:14" x14ac:dyDescent="0.25">
      <c r="A44" t="s">
        <v>17</v>
      </c>
      <c r="B44" t="s">
        <v>62</v>
      </c>
      <c r="I44" s="53">
        <f>'Total Population'!I15</f>
        <v>37323</v>
      </c>
      <c r="J44" s="53">
        <f>'Total Population'!N15</f>
        <v>41222</v>
      </c>
      <c r="K44" s="53">
        <f>'Total Population'!S15</f>
        <v>46050</v>
      </c>
      <c r="L44" s="53">
        <f>'Total Population'!X15</f>
        <v>51621</v>
      </c>
      <c r="M44" s="53">
        <f>'Total Population'!AC15</f>
        <v>57832</v>
      </c>
      <c r="N44" s="53">
        <f>'Total Population'!AH15</f>
        <v>64613</v>
      </c>
    </row>
    <row r="45" spans="1:14" x14ac:dyDescent="0.25">
      <c r="A45" t="s">
        <v>17</v>
      </c>
      <c r="B45" t="s">
        <v>62</v>
      </c>
      <c r="I45" s="53">
        <f>'Total Population'!J15</f>
        <v>34476</v>
      </c>
      <c r="J45" s="53">
        <f>'Total Population'!O15</f>
        <v>32447</v>
      </c>
      <c r="K45" s="53">
        <f>'Total Population'!T15</f>
        <v>29489</v>
      </c>
      <c r="L45" s="53">
        <f>'Total Population'!Y15</f>
        <v>25788</v>
      </c>
      <c r="M45" s="53">
        <f>'Total Population'!AD15</f>
        <v>21447</v>
      </c>
      <c r="N45" s="53">
        <f>'Total Population'!AI15</f>
        <v>16536</v>
      </c>
    </row>
    <row r="46" spans="1:14" x14ac:dyDescent="0.25">
      <c r="A46" t="s">
        <v>18</v>
      </c>
      <c r="B46" t="s">
        <v>60</v>
      </c>
      <c r="C46">
        <f>'Total Population'!B16</f>
        <v>31032</v>
      </c>
      <c r="D46">
        <f>'Total Population'!C16</f>
        <v>31596</v>
      </c>
      <c r="E46">
        <f>'Total Population'!D16</f>
        <v>34099</v>
      </c>
      <c r="F46">
        <f>'Total Population'!E16</f>
        <v>36037</v>
      </c>
      <c r="G46">
        <f>'Total Population'!F16</f>
        <v>35439</v>
      </c>
      <c r="H46">
        <f>'Total Population'!G16</f>
        <v>35460</v>
      </c>
    </row>
    <row r="47" spans="1:14" x14ac:dyDescent="0.25">
      <c r="A47" t="s">
        <v>18</v>
      </c>
      <c r="B47" t="s">
        <v>61</v>
      </c>
      <c r="I47">
        <f>'Total Population'!H16</f>
        <v>36859</v>
      </c>
      <c r="J47">
        <f>'Total Population'!M16</f>
        <v>37415</v>
      </c>
      <c r="K47">
        <f>'Total Population'!R16</f>
        <v>38131</v>
      </c>
      <c r="L47">
        <f>'Total Population'!W16</f>
        <v>38662</v>
      </c>
      <c r="M47">
        <f>'Total Population'!AB16</f>
        <v>39102</v>
      </c>
      <c r="N47">
        <f>'Total Population'!AG16</f>
        <v>39542</v>
      </c>
    </row>
    <row r="48" spans="1:14" x14ac:dyDescent="0.25">
      <c r="A48" t="s">
        <v>18</v>
      </c>
      <c r="B48" t="s">
        <v>62</v>
      </c>
      <c r="I48" s="53">
        <f>'Total Population'!I16</f>
        <v>38560</v>
      </c>
      <c r="J48" s="53">
        <f>'Total Population'!N16</f>
        <v>41469</v>
      </c>
      <c r="K48" s="53">
        <f>'Total Population'!S16</f>
        <v>44979</v>
      </c>
      <c r="L48" s="53">
        <f>'Total Population'!X16</f>
        <v>48989</v>
      </c>
      <c r="M48" s="53">
        <f>'Total Population'!AC16</f>
        <v>53437</v>
      </c>
      <c r="N48" s="53">
        <f>'Total Population'!AH16</f>
        <v>58278</v>
      </c>
    </row>
    <row r="49" spans="1:17" x14ac:dyDescent="0.25">
      <c r="A49" t="s">
        <v>18</v>
      </c>
      <c r="B49" t="s">
        <v>62</v>
      </c>
      <c r="I49" s="53">
        <f>'Total Population'!J16</f>
        <v>34761</v>
      </c>
      <c r="J49" s="53">
        <f>'Total Population'!O16</f>
        <v>32732</v>
      </c>
      <c r="K49" s="53">
        <f>'Total Population'!T16</f>
        <v>30102</v>
      </c>
      <c r="L49" s="53">
        <f>'Total Population'!Y16</f>
        <v>26972</v>
      </c>
      <c r="M49" s="53">
        <f>'Total Population'!AD16</f>
        <v>23404</v>
      </c>
      <c r="N49" s="53">
        <f>'Total Population'!AI16</f>
        <v>19442</v>
      </c>
    </row>
    <row r="50" spans="1:17" x14ac:dyDescent="0.25">
      <c r="A50" t="s">
        <v>8</v>
      </c>
      <c r="B50" t="s">
        <v>60</v>
      </c>
      <c r="C50">
        <f>'Total Population'!B17</f>
        <v>43662</v>
      </c>
      <c r="D50">
        <f>'Total Population'!C17</f>
        <v>48257</v>
      </c>
      <c r="E50">
        <f>'Total Population'!D17</f>
        <v>52808</v>
      </c>
      <c r="F50">
        <f>'Total Population'!E17</f>
        <v>55740</v>
      </c>
      <c r="G50">
        <f>'Total Population'!F17</f>
        <v>58628</v>
      </c>
      <c r="H50">
        <f>'Total Population'!G17</f>
        <v>59333</v>
      </c>
    </row>
    <row r="51" spans="1:17" x14ac:dyDescent="0.25">
      <c r="A51" t="s">
        <v>8</v>
      </c>
      <c r="B51" t="s">
        <v>61</v>
      </c>
      <c r="I51">
        <f>'Total Population'!H17</f>
        <v>62355</v>
      </c>
      <c r="J51">
        <f>'Total Population'!M17</f>
        <v>65891</v>
      </c>
      <c r="K51">
        <f>'Total Population'!R17</f>
        <v>69716</v>
      </c>
      <c r="L51">
        <f>'Total Population'!W17</f>
        <v>73212</v>
      </c>
      <c r="M51">
        <f>'Total Population'!AB17</f>
        <v>76545</v>
      </c>
      <c r="N51">
        <f>'Total Population'!AG17</f>
        <v>79877</v>
      </c>
    </row>
    <row r="52" spans="1:17" x14ac:dyDescent="0.25">
      <c r="A52" t="s">
        <v>8</v>
      </c>
      <c r="B52" t="s">
        <v>62</v>
      </c>
      <c r="I52" s="53">
        <f>'Total Population'!I17</f>
        <v>66029</v>
      </c>
      <c r="J52" s="53">
        <f>'Total Population'!N17</f>
        <v>77450</v>
      </c>
      <c r="K52" s="53">
        <f>'Total Population'!S17</f>
        <v>91360</v>
      </c>
      <c r="L52" s="53">
        <f>'Total Population'!X17</f>
        <v>107272</v>
      </c>
      <c r="M52" s="53">
        <f>'Total Population'!AC17</f>
        <v>124906</v>
      </c>
      <c r="N52" s="53">
        <f>'Total Population'!AH17</f>
        <v>144076</v>
      </c>
    </row>
    <row r="53" spans="1:17" x14ac:dyDescent="0.25">
      <c r="A53" t="s">
        <v>8</v>
      </c>
      <c r="B53" t="s">
        <v>62</v>
      </c>
      <c r="I53" s="53">
        <f>'Total Population'!J17</f>
        <v>58005</v>
      </c>
      <c r="J53" s="53">
        <f>'Total Population'!O17</f>
        <v>53249</v>
      </c>
      <c r="K53" s="53">
        <f>'Total Population'!T17</f>
        <v>46004</v>
      </c>
      <c r="L53" s="53">
        <f>'Total Population'!Y17</f>
        <v>36758</v>
      </c>
      <c r="M53" s="53">
        <f>'Total Population'!AD17</f>
        <v>25789</v>
      </c>
      <c r="N53" s="53">
        <f>'Total Population'!AI17</f>
        <v>13285</v>
      </c>
    </row>
    <row r="54" spans="1:17" x14ac:dyDescent="0.25">
      <c r="A54" t="s">
        <v>19</v>
      </c>
      <c r="B54" t="s">
        <v>60</v>
      </c>
      <c r="C54">
        <f>'Total Population'!B18</f>
        <v>65004</v>
      </c>
      <c r="D54">
        <f>'Total Population'!C18</f>
        <v>69401</v>
      </c>
      <c r="E54">
        <f>'Total Population'!D18</f>
        <v>73507</v>
      </c>
      <c r="F54">
        <f>'Total Population'!E18</f>
        <v>78098</v>
      </c>
      <c r="G54">
        <f>'Total Population'!F18</f>
        <v>76985</v>
      </c>
      <c r="H54">
        <f>'Total Population'!G18</f>
        <v>76891</v>
      </c>
    </row>
    <row r="55" spans="1:17" x14ac:dyDescent="0.25">
      <c r="A55" t="s">
        <v>19</v>
      </c>
      <c r="B55" t="s">
        <v>61</v>
      </c>
      <c r="I55">
        <f>'Total Population'!H18</f>
        <v>76590</v>
      </c>
      <c r="J55">
        <f>'Total Population'!M18</f>
        <v>76204</v>
      </c>
      <c r="K55">
        <f>'Total Population'!R18</f>
        <v>75876</v>
      </c>
      <c r="L55">
        <f>'Total Population'!W18</f>
        <v>75478</v>
      </c>
      <c r="M55">
        <f>'Total Population'!AB18</f>
        <v>75040</v>
      </c>
      <c r="N55">
        <f>'Total Population'!AG18</f>
        <v>74602</v>
      </c>
    </row>
    <row r="56" spans="1:17" x14ac:dyDescent="0.25">
      <c r="A56" t="s">
        <v>19</v>
      </c>
      <c r="B56" t="s">
        <v>62</v>
      </c>
      <c r="I56" s="53">
        <f>'Total Population'!I18</f>
        <v>79695</v>
      </c>
      <c r="J56" s="53">
        <f>'Total Population'!N18</f>
        <v>85847</v>
      </c>
      <c r="K56" s="53">
        <f>'Total Population'!S18</f>
        <v>94070</v>
      </c>
      <c r="L56" s="53">
        <f>'Total Population'!X18</f>
        <v>103952</v>
      </c>
      <c r="M56" s="53">
        <f>'Total Population'!AC18</f>
        <v>115258</v>
      </c>
      <c r="N56" s="53">
        <f>'Total Population'!AH18</f>
        <v>127833</v>
      </c>
    </row>
    <row r="57" spans="1:17" x14ac:dyDescent="0.25">
      <c r="A57" t="s">
        <v>19</v>
      </c>
      <c r="B57" t="s">
        <v>62</v>
      </c>
      <c r="I57" s="53">
        <f>'Total Population'!J18</f>
        <v>73390</v>
      </c>
      <c r="J57" s="53">
        <f>'Total Population'!O18</f>
        <v>66369</v>
      </c>
      <c r="K57" s="53">
        <f>'Total Population'!T18</f>
        <v>57266</v>
      </c>
      <c r="L57" s="53">
        <f>'Total Population'!Y18</f>
        <v>46512</v>
      </c>
      <c r="M57" s="53">
        <f>'Total Population'!AD18</f>
        <v>34330</v>
      </c>
      <c r="N57" s="53">
        <f>'Total Population'!AI18</f>
        <v>20880</v>
      </c>
    </row>
    <row r="58" spans="1:17" x14ac:dyDescent="0.25">
      <c r="A58" t="s">
        <v>9</v>
      </c>
      <c r="B58" t="s">
        <v>60</v>
      </c>
      <c r="C58">
        <f>'Total Population'!B19</f>
        <v>29536</v>
      </c>
      <c r="D58">
        <f>'Total Population'!C19</f>
        <v>32010</v>
      </c>
      <c r="E58">
        <f>'Total Population'!D19</f>
        <v>41338</v>
      </c>
      <c r="F58">
        <f>'Total Population'!E19</f>
        <v>52464</v>
      </c>
      <c r="G58">
        <f>'Total Population'!F19</f>
        <v>63077</v>
      </c>
      <c r="H58">
        <f>'Total Population'!G19</f>
        <v>64971</v>
      </c>
    </row>
    <row r="59" spans="1:17" x14ac:dyDescent="0.25">
      <c r="A59" t="s">
        <v>9</v>
      </c>
      <c r="B59" t="s">
        <v>61</v>
      </c>
      <c r="I59">
        <f>'Total Population'!H19</f>
        <v>66408</v>
      </c>
      <c r="J59">
        <f>'Total Population'!M19</f>
        <v>72505</v>
      </c>
      <c r="K59">
        <f>'Total Population'!R19</f>
        <v>78933</v>
      </c>
      <c r="L59">
        <f>'Total Population'!W19</f>
        <v>84983</v>
      </c>
      <c r="M59">
        <f>'Total Population'!AB19</f>
        <v>90844</v>
      </c>
      <c r="N59">
        <f>'Total Population'!AG19</f>
        <v>96705</v>
      </c>
    </row>
    <row r="60" spans="1:17" x14ac:dyDescent="0.25">
      <c r="A60" t="s">
        <v>9</v>
      </c>
      <c r="B60" t="s">
        <v>62</v>
      </c>
      <c r="I60" s="53">
        <f>'Total Population'!I19</f>
        <v>69664</v>
      </c>
      <c r="J60" s="53">
        <f>'Total Population'!N19</f>
        <v>80350</v>
      </c>
      <c r="K60" s="53">
        <f>'Total Population'!S19</f>
        <v>92220</v>
      </c>
      <c r="L60" s="53">
        <f>'Total Population'!X19</f>
        <v>105075</v>
      </c>
      <c r="M60" s="53">
        <f>'Total Population'!AC19</f>
        <v>118792</v>
      </c>
      <c r="N60" s="53">
        <f>'Total Population'!AH19</f>
        <v>133284</v>
      </c>
    </row>
    <row r="61" spans="1:17" x14ac:dyDescent="0.25">
      <c r="A61" t="s">
        <v>9</v>
      </c>
      <c r="B61" t="s">
        <v>62</v>
      </c>
      <c r="I61" s="53">
        <f>'Total Population'!J19</f>
        <v>62368</v>
      </c>
      <c r="J61" s="53">
        <f>'Total Population'!O19</f>
        <v>63404</v>
      </c>
      <c r="K61" s="53">
        <f>'Total Population'!T19</f>
        <v>63255</v>
      </c>
      <c r="L61" s="53">
        <f>'Total Population'!Y19</f>
        <v>62122</v>
      </c>
      <c r="M61" s="53">
        <f>'Total Population'!AD19</f>
        <v>60127</v>
      </c>
      <c r="N61" s="53">
        <f>'Total Population'!AI19</f>
        <v>57356</v>
      </c>
    </row>
    <row r="62" spans="1:17" x14ac:dyDescent="0.25">
      <c r="A62" t="s">
        <v>30</v>
      </c>
      <c r="B62" t="s">
        <v>60</v>
      </c>
      <c r="C62">
        <f>'Total Population'!B20</f>
        <v>1571547</v>
      </c>
      <c r="D62">
        <f>'Total Population'!C20</f>
        <v>1719508</v>
      </c>
      <c r="E62">
        <f>'Total Population'!D20</f>
        <v>1950805</v>
      </c>
      <c r="F62">
        <f>'Total Population'!E20</f>
        <v>2186769</v>
      </c>
      <c r="G62">
        <f>'Total Population'!F20</f>
        <v>2421159</v>
      </c>
      <c r="H62">
        <f>'Total Population'!G20</f>
        <v>2431037</v>
      </c>
      <c r="O62" t="str">
        <f>TEXT(ROUND(C62,-3), "_(* #,##0_)")</f>
        <v xml:space="preserve"> 1,572,000 </v>
      </c>
      <c r="P62" t="str">
        <f>TEXT(ROUND(G62,-3), "_(* #,##0_)")</f>
        <v xml:space="preserve"> 2,421,000 </v>
      </c>
      <c r="Q62" t="str">
        <f>TEXT(ROUND(N63,-3), "_(* #,##0_)")</f>
        <v xml:space="preserve"> 3,147,000 </v>
      </c>
    </row>
    <row r="63" spans="1:17" x14ac:dyDescent="0.25">
      <c r="A63" t="s">
        <v>30</v>
      </c>
      <c r="B63" t="s">
        <v>61</v>
      </c>
      <c r="H63">
        <f>H62</f>
        <v>2431037</v>
      </c>
      <c r="I63">
        <f>'Total Population'!H20</f>
        <v>2555315</v>
      </c>
      <c r="J63">
        <f>'Total Population'!M20</f>
        <v>2676926</v>
      </c>
      <c r="K63">
        <f>'Total Population'!R20</f>
        <v>2827180</v>
      </c>
      <c r="L63">
        <f>'Total Population'!W20</f>
        <v>2944699</v>
      </c>
      <c r="M63">
        <f>'Total Population'!AB20</f>
        <v>3045854</v>
      </c>
      <c r="N63">
        <f>'Total Population'!AG20</f>
        <v>3147011</v>
      </c>
    </row>
    <row r="64" spans="1:17" x14ac:dyDescent="0.25">
      <c r="A64" t="s">
        <v>30</v>
      </c>
      <c r="B64" t="s">
        <v>62</v>
      </c>
      <c r="H64">
        <f>H62</f>
        <v>2431037</v>
      </c>
      <c r="I64" s="53">
        <f>'Total Population'!I20</f>
        <v>2597188</v>
      </c>
      <c r="J64" s="53">
        <f>'Total Population'!N20</f>
        <v>2816613</v>
      </c>
      <c r="K64" s="53">
        <f>'Total Population'!S20</f>
        <v>3068141</v>
      </c>
      <c r="L64" s="53">
        <f>'Total Population'!X20</f>
        <v>3345949</v>
      </c>
      <c r="M64" s="53">
        <f>'Total Population'!AC20</f>
        <v>3646586</v>
      </c>
      <c r="N64" s="53">
        <f>'Total Population'!AH20</f>
        <v>3967683</v>
      </c>
    </row>
    <row r="65" spans="1:14" x14ac:dyDescent="0.25">
      <c r="A65" t="s">
        <v>30</v>
      </c>
      <c r="B65" t="s">
        <v>62</v>
      </c>
      <c r="H65">
        <f>H62</f>
        <v>2431037</v>
      </c>
      <c r="I65" s="53">
        <f>'Total Population'!J20</f>
        <v>2445231</v>
      </c>
      <c r="J65" s="53">
        <f>'Total Population'!O20</f>
        <v>2428110</v>
      </c>
      <c r="K65" s="53">
        <f>'Total Population'!T20</f>
        <v>2378893</v>
      </c>
      <c r="L65" s="53">
        <f>'Total Population'!Y20</f>
        <v>2303397</v>
      </c>
      <c r="M65" s="53">
        <f>'Total Population'!AD20</f>
        <v>2205068</v>
      </c>
      <c r="N65" s="53">
        <f>'Total Population'!AI20</f>
        <v>2086279</v>
      </c>
    </row>
    <row r="66" spans="1:14" x14ac:dyDescent="0.25">
      <c r="I66" s="53"/>
      <c r="J66" s="53"/>
      <c r="K66" s="53"/>
      <c r="L66" s="53"/>
      <c r="M66" s="53"/>
      <c r="N66" s="53"/>
    </row>
    <row r="67" spans="1:14" x14ac:dyDescent="0.25">
      <c r="I67" s="53"/>
      <c r="J67" s="53"/>
      <c r="K67" s="53"/>
      <c r="L67" s="53"/>
      <c r="M67" s="53"/>
      <c r="N67" s="53"/>
    </row>
    <row r="68" spans="1:14" x14ac:dyDescent="0.25">
      <c r="I68" s="53"/>
      <c r="J68" s="53"/>
      <c r="K68" s="53"/>
      <c r="L68" s="53"/>
      <c r="M68" s="53"/>
      <c r="N68" s="53"/>
    </row>
    <row r="69" spans="1:14" x14ac:dyDescent="0.25">
      <c r="I69" s="53"/>
      <c r="J69" s="53"/>
      <c r="K69" s="53"/>
      <c r="L69" s="53"/>
      <c r="M69" s="53"/>
      <c r="N69" s="53"/>
    </row>
    <row r="75" spans="1:14" x14ac:dyDescent="0.25">
      <c r="I75" s="53"/>
      <c r="J75" s="53"/>
      <c r="K75" s="53"/>
      <c r="L75" s="53"/>
      <c r="M75" s="53"/>
      <c r="N75" s="53"/>
    </row>
    <row r="76" spans="1:14" x14ac:dyDescent="0.25">
      <c r="I76" s="53"/>
      <c r="J76" s="53"/>
      <c r="K76" s="53"/>
      <c r="L76" s="53"/>
      <c r="M76" s="53"/>
      <c r="N76" s="53"/>
    </row>
  </sheetData>
  <sortState xmlns:xlrd2="http://schemas.microsoft.com/office/spreadsheetml/2017/richdata2" ref="A2:N61">
    <sortCondition ref="A2:A6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7827E-164C-43BD-A865-347919B6F923}">
  <dimension ref="A1:J5"/>
  <sheetViews>
    <sheetView tabSelected="1" workbookViewId="0">
      <selection activeCell="F11" sqref="F11"/>
    </sheetView>
  </sheetViews>
  <sheetFormatPr defaultRowHeight="15" x14ac:dyDescent="0.25"/>
  <cols>
    <col min="1" max="1" width="15.42578125" bestFit="1" customWidth="1"/>
    <col min="2" max="2" width="15.42578125" customWidth="1"/>
    <col min="3" max="4" width="12.5703125" bestFit="1" customWidth="1"/>
    <col min="5" max="5" width="12.5703125" customWidth="1"/>
    <col min="6" max="7" width="12.5703125" bestFit="1" customWidth="1"/>
    <col min="8" max="8" width="16.28515625" style="39" customWidth="1"/>
    <col min="9" max="10" width="16" bestFit="1" customWidth="1"/>
  </cols>
  <sheetData>
    <row r="1" spans="1:10" ht="30" x14ac:dyDescent="0.25">
      <c r="B1" t="s">
        <v>76</v>
      </c>
      <c r="C1" t="s">
        <v>1</v>
      </c>
      <c r="D1" t="s">
        <v>65</v>
      </c>
      <c r="E1" t="s">
        <v>77</v>
      </c>
      <c r="F1" t="s">
        <v>66</v>
      </c>
      <c r="G1" t="s">
        <v>67</v>
      </c>
      <c r="H1" s="39" t="s">
        <v>78</v>
      </c>
      <c r="I1" t="s">
        <v>68</v>
      </c>
      <c r="J1" t="s">
        <v>69</v>
      </c>
    </row>
    <row r="2" spans="1:10" ht="30" x14ac:dyDescent="0.25">
      <c r="A2" t="s">
        <v>70</v>
      </c>
      <c r="B2" s="6">
        <f>'Total Population'!F20</f>
        <v>2421159</v>
      </c>
      <c r="C2" s="6">
        <f>'Households and Housing Units'!B20</f>
        <v>927777.79979810945</v>
      </c>
      <c r="D2" s="6">
        <f>'Residential Labor Force'!B20</f>
        <v>1262535.4791112496</v>
      </c>
      <c r="E2" s="6">
        <f>ROUND(B2,-3)</f>
        <v>2421000</v>
      </c>
      <c r="F2" s="6">
        <f>ROUND(C2,-3)</f>
        <v>928000</v>
      </c>
      <c r="G2" s="6">
        <f>ROUND(D2,-3)</f>
        <v>1263000</v>
      </c>
      <c r="H2" s="55" t="str">
        <f>_xlfn.CONCAT(TEXT(E2,"_(* #,##0_)"), "in 2020")</f>
        <v xml:space="preserve"> 2,421,000 in 2020</v>
      </c>
      <c r="I2" s="39" t="str">
        <f>_xlfn.CONCAT(TEXT(F2,"_(* #,##0_)"), "in 2020")</f>
        <v xml:space="preserve"> 928,000 in 2020</v>
      </c>
      <c r="J2" s="39" t="str">
        <f>_xlfn.CONCAT(TEXT(G2,"_(* #,##0_)"), "in 2020")</f>
        <v xml:space="preserve"> 1,263,000 in 2020</v>
      </c>
    </row>
    <row r="3" spans="1:10" x14ac:dyDescent="0.25">
      <c r="A3" t="s">
        <v>71</v>
      </c>
      <c r="B3" s="6">
        <f>'Total Population'!AG20</f>
        <v>3147011</v>
      </c>
      <c r="C3" s="6">
        <f>'Households and Housing Units'!H20</f>
        <v>1199937.474486527</v>
      </c>
      <c r="D3" s="6">
        <f>'Residential Labor Force'!H20</f>
        <v>1619518.7724311468</v>
      </c>
      <c r="E3" s="6">
        <f>ROUND(B3,-3)</f>
        <v>3147000</v>
      </c>
      <c r="F3" s="6">
        <f>ROUND(C3,-3)</f>
        <v>1200000</v>
      </c>
      <c r="G3" s="6">
        <f>ROUND(D3,-3)</f>
        <v>1620000</v>
      </c>
      <c r="H3" s="55"/>
    </row>
    <row r="4" spans="1:10" ht="30" x14ac:dyDescent="0.25">
      <c r="A4" t="s">
        <v>72</v>
      </c>
      <c r="B4" s="6">
        <f>B3-B2</f>
        <v>725852</v>
      </c>
      <c r="C4" s="6">
        <f>C3-C2</f>
        <v>272159.67468841758</v>
      </c>
      <c r="D4" s="6">
        <f>D3-D2</f>
        <v>356983.29331989726</v>
      </c>
      <c r="E4" s="6">
        <f>ROUND(B4,-3)</f>
        <v>726000</v>
      </c>
      <c r="F4" s="6">
        <f>F3-F2</f>
        <v>272000</v>
      </c>
      <c r="G4" s="6">
        <f>G3-G2</f>
        <v>357000</v>
      </c>
      <c r="H4" s="55" t="str">
        <f>_xlfn.CONCAT(TEXT(E4, "+_(* #,##0_);-_(* #,##0_);_(* #,##0_)"), "(",TEXT(E5,"0%"), ")", " by 2050")</f>
        <v>+ 726,000 (30%) by 2050</v>
      </c>
      <c r="I4" s="55" t="str">
        <f>_xlfn.CONCAT(TEXT(F4, "+_(* #,##0_);-_(* #,##0_);_(* #,##0_)"), "(",TEXT(F5,"0%"), ")", " by 2050")</f>
        <v>+ 272,000 (29%) by 2050</v>
      </c>
      <c r="J4" s="55" t="str">
        <f>_xlfn.CONCAT(TEXT(G4, "+_(* #,##0_);-_(* #,##0_);_(* #,##0_)"), "(",TEXT(G5,"0%"), ")", " by 2050")</f>
        <v>+ 357,000 (28%) by 2050</v>
      </c>
    </row>
    <row r="5" spans="1:10" x14ac:dyDescent="0.25">
      <c r="A5" t="s">
        <v>64</v>
      </c>
      <c r="B5" s="62">
        <f>B4/B2</f>
        <v>0.29979526334288659</v>
      </c>
      <c r="C5" s="54">
        <f>C4/C2</f>
        <v>0.29334575018678105</v>
      </c>
      <c r="D5" s="54">
        <f>D4/D2</f>
        <v>0.28275109826710965</v>
      </c>
      <c r="E5" s="54">
        <f>E4/E2</f>
        <v>0.29987608426270135</v>
      </c>
      <c r="F5" s="54">
        <f>F4/F2</f>
        <v>0.29310344827586204</v>
      </c>
      <c r="G5" s="54">
        <f>G4/G2</f>
        <v>0.28266033254156769</v>
      </c>
      <c r="H5" s="63"/>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8F88D-9F5F-4FE8-8344-487EC12DAF10}">
  <dimension ref="A1:AS28"/>
  <sheetViews>
    <sheetView workbookViewId="0">
      <pane xSplit="1" ySplit="4" topLeftCell="B5" activePane="bottomRight" state="frozen"/>
      <selection pane="topRight" activeCell="B1" sqref="B1"/>
      <selection pane="bottomLeft" activeCell="A5" sqref="A5"/>
      <selection pane="bottomRight" activeCell="B3" sqref="B3:G3"/>
    </sheetView>
  </sheetViews>
  <sheetFormatPr defaultColWidth="111.42578125" defaultRowHeight="15" x14ac:dyDescent="0.25"/>
  <cols>
    <col min="1" max="1" width="10" bestFit="1" customWidth="1"/>
    <col min="2" max="2" width="10.7109375" customWidth="1"/>
    <col min="3" max="6" width="10.42578125" bestFit="1" customWidth="1"/>
    <col min="7" max="7" width="10.7109375" customWidth="1"/>
    <col min="8" max="8" width="12.42578125" bestFit="1" customWidth="1"/>
    <col min="9" max="10" width="12.42578125" customWidth="1"/>
    <col min="11" max="11" width="13.7109375" customWidth="1"/>
    <col min="12" max="12" width="14" customWidth="1"/>
    <col min="13" max="13" width="10.42578125" bestFit="1" customWidth="1"/>
    <col min="14" max="14" width="12.42578125" bestFit="1" customWidth="1"/>
    <col min="15" max="15" width="11" customWidth="1"/>
    <col min="16" max="16" width="12.42578125" bestFit="1" customWidth="1"/>
    <col min="17" max="17" width="13.28515625" customWidth="1"/>
    <col min="18" max="18" width="10.42578125" bestFit="1" customWidth="1"/>
    <col min="19" max="19" width="11.28515625" customWidth="1"/>
    <col min="20" max="20" width="12.42578125" bestFit="1" customWidth="1"/>
    <col min="21" max="21" width="11.28515625" customWidth="1"/>
    <col min="22" max="22" width="12.42578125" bestFit="1" customWidth="1"/>
    <col min="23" max="23" width="10.42578125" bestFit="1" customWidth="1"/>
    <col min="24" max="24" width="11.7109375" customWidth="1"/>
    <col min="25" max="25" width="10.42578125" bestFit="1" customWidth="1"/>
    <col min="26" max="26" width="13.140625" customWidth="1"/>
    <col min="27" max="27" width="13.28515625" customWidth="1"/>
    <col min="28" max="28" width="10.42578125" bestFit="1" customWidth="1"/>
    <col min="29" max="29" width="11.85546875" customWidth="1"/>
    <col min="30" max="30" width="10.42578125" bestFit="1" customWidth="1"/>
    <col min="31" max="31" width="12.7109375" customWidth="1"/>
    <col min="32" max="32" width="12.140625" customWidth="1"/>
    <col min="33" max="33" width="10.42578125" bestFit="1" customWidth="1"/>
    <col min="34" max="34" width="11" customWidth="1"/>
    <col min="35" max="35" width="12.42578125" customWidth="1"/>
    <col min="36" max="36" width="12.28515625" customWidth="1"/>
    <col min="37" max="37" width="12.140625" customWidth="1"/>
    <col min="38" max="38" width="2.5703125" customWidth="1"/>
    <col min="39" max="39" width="9.85546875" customWidth="1"/>
    <col min="40" max="40" width="9" customWidth="1"/>
    <col min="41" max="41" width="9.7109375" customWidth="1"/>
    <col min="42" max="42" width="2.28515625" customWidth="1"/>
    <col min="43" max="44" width="9.42578125" customWidth="1"/>
    <col min="45" max="45" width="9.140625" customWidth="1"/>
  </cols>
  <sheetData>
    <row r="1" spans="1:45" ht="65.25" customHeight="1" x14ac:dyDescent="0.3">
      <c r="D1" s="59" t="s">
        <v>20</v>
      </c>
      <c r="E1" s="59"/>
      <c r="F1" s="59"/>
      <c r="G1" s="59"/>
      <c r="H1" s="59"/>
      <c r="I1" s="59"/>
      <c r="J1" s="59"/>
      <c r="K1" s="59"/>
      <c r="L1" s="59"/>
      <c r="M1" s="59"/>
      <c r="N1" s="59"/>
      <c r="O1" s="59"/>
      <c r="P1" s="59"/>
      <c r="Q1" s="59"/>
      <c r="R1" s="59"/>
      <c r="S1" s="59"/>
      <c r="T1" s="59"/>
      <c r="U1" s="59"/>
      <c r="V1" s="59"/>
      <c r="W1" s="59"/>
    </row>
    <row r="2" spans="1:45" s="7" customFormat="1" ht="34.5" customHeight="1" x14ac:dyDescent="0.2">
      <c r="A2" s="60" t="s">
        <v>11</v>
      </c>
      <c r="B2" s="60"/>
      <c r="C2" s="60"/>
      <c r="D2" s="60"/>
      <c r="E2" s="60"/>
      <c r="F2" s="60"/>
      <c r="G2" s="60"/>
      <c r="H2" s="60"/>
      <c r="I2" s="60"/>
      <c r="J2" s="60"/>
      <c r="K2" s="60"/>
      <c r="L2" s="60"/>
      <c r="M2" s="60"/>
      <c r="N2" s="60"/>
      <c r="O2" s="60"/>
      <c r="P2" s="60"/>
      <c r="Q2" s="60"/>
      <c r="R2" s="60"/>
      <c r="S2" s="60"/>
      <c r="T2" s="60"/>
      <c r="U2" s="60"/>
      <c r="V2" s="60"/>
      <c r="W2" s="60"/>
      <c r="AM2" s="56" t="s">
        <v>56</v>
      </c>
      <c r="AN2" s="56"/>
      <c r="AO2" s="56"/>
      <c r="AQ2" s="56" t="s">
        <v>57</v>
      </c>
      <c r="AR2" s="56"/>
      <c r="AS2" s="56"/>
    </row>
    <row r="3" spans="1:45" s="3" customFormat="1" x14ac:dyDescent="0.25">
      <c r="B3" s="2">
        <v>1980</v>
      </c>
      <c r="C3" s="2">
        <v>1990</v>
      </c>
      <c r="D3" s="2">
        <v>2000</v>
      </c>
      <c r="E3" s="2">
        <v>2010</v>
      </c>
      <c r="F3" s="2">
        <v>2020</v>
      </c>
      <c r="G3" s="2">
        <v>2021</v>
      </c>
      <c r="H3" s="58">
        <v>2025</v>
      </c>
      <c r="I3" s="58"/>
      <c r="J3" s="58"/>
      <c r="K3" s="58"/>
      <c r="L3" s="58"/>
      <c r="M3" s="58">
        <v>2030</v>
      </c>
      <c r="N3" s="58"/>
      <c r="O3" s="58"/>
      <c r="P3" s="58"/>
      <c r="Q3" s="58"/>
      <c r="R3" s="58">
        <v>2035</v>
      </c>
      <c r="S3" s="58"/>
      <c r="T3" s="58"/>
      <c r="U3" s="58"/>
      <c r="V3" s="58"/>
      <c r="W3" s="58">
        <v>2040</v>
      </c>
      <c r="X3" s="58"/>
      <c r="Y3" s="58"/>
      <c r="Z3" s="58"/>
      <c r="AA3" s="58"/>
      <c r="AB3" s="58">
        <v>2045</v>
      </c>
      <c r="AC3" s="58"/>
      <c r="AD3" s="58"/>
      <c r="AE3" s="58"/>
      <c r="AF3" s="58"/>
      <c r="AG3" s="58">
        <v>2050</v>
      </c>
      <c r="AH3" s="58"/>
      <c r="AI3" s="58"/>
      <c r="AJ3" s="58"/>
      <c r="AK3" s="58"/>
      <c r="AM3" s="57" t="s">
        <v>58</v>
      </c>
      <c r="AN3" s="57"/>
      <c r="AO3" s="57"/>
      <c r="AP3" s="2"/>
      <c r="AQ3" s="57" t="s">
        <v>59</v>
      </c>
      <c r="AR3" s="57"/>
      <c r="AS3" s="57"/>
    </row>
    <row r="4" spans="1:45" s="4" customFormat="1" ht="34.5" x14ac:dyDescent="0.25">
      <c r="A4" s="27" t="s">
        <v>0</v>
      </c>
      <c r="B4" s="38" t="s">
        <v>33</v>
      </c>
      <c r="C4" s="38" t="s">
        <v>21</v>
      </c>
      <c r="D4" s="38" t="s">
        <v>21</v>
      </c>
      <c r="E4" s="38" t="s">
        <v>21</v>
      </c>
      <c r="F4" s="38" t="s">
        <v>21</v>
      </c>
      <c r="G4" s="38" t="s">
        <v>21</v>
      </c>
      <c r="H4" s="38" t="s">
        <v>34</v>
      </c>
      <c r="I4" s="38" t="s">
        <v>41</v>
      </c>
      <c r="J4" s="38" t="s">
        <v>42</v>
      </c>
      <c r="K4" s="38" t="s">
        <v>43</v>
      </c>
      <c r="L4" s="38" t="s">
        <v>44</v>
      </c>
      <c r="M4" s="38" t="s">
        <v>32</v>
      </c>
      <c r="N4" s="38" t="s">
        <v>35</v>
      </c>
      <c r="O4" s="38" t="s">
        <v>36</v>
      </c>
      <c r="P4" s="38" t="s">
        <v>39</v>
      </c>
      <c r="Q4" s="38" t="s">
        <v>40</v>
      </c>
      <c r="R4" s="38" t="s">
        <v>32</v>
      </c>
      <c r="S4" s="38" t="s">
        <v>35</v>
      </c>
      <c r="T4" s="38" t="s">
        <v>36</v>
      </c>
      <c r="U4" s="38" t="s">
        <v>39</v>
      </c>
      <c r="V4" s="38" t="s">
        <v>40</v>
      </c>
      <c r="W4" s="38" t="s">
        <v>32</v>
      </c>
      <c r="X4" s="38" t="s">
        <v>35</v>
      </c>
      <c r="Y4" s="38" t="s">
        <v>36</v>
      </c>
      <c r="Z4" s="38" t="s">
        <v>39</v>
      </c>
      <c r="AA4" s="38" t="s">
        <v>40</v>
      </c>
      <c r="AB4" s="38" t="s">
        <v>32</v>
      </c>
      <c r="AC4" s="38" t="s">
        <v>35</v>
      </c>
      <c r="AD4" s="38" t="s">
        <v>36</v>
      </c>
      <c r="AE4" s="38" t="s">
        <v>39</v>
      </c>
      <c r="AF4" s="38" t="s">
        <v>40</v>
      </c>
      <c r="AG4" s="38" t="s">
        <v>32</v>
      </c>
      <c r="AH4" s="38" t="s">
        <v>35</v>
      </c>
      <c r="AI4" s="38" t="s">
        <v>36</v>
      </c>
      <c r="AJ4" s="38" t="s">
        <v>39</v>
      </c>
      <c r="AK4" s="38" t="s">
        <v>40</v>
      </c>
      <c r="AM4" s="49" t="s">
        <v>52</v>
      </c>
      <c r="AN4" s="49" t="s">
        <v>53</v>
      </c>
      <c r="AO4" s="49" t="s">
        <v>54</v>
      </c>
      <c r="AP4" s="2"/>
      <c r="AQ4" s="49" t="s">
        <v>52</v>
      </c>
      <c r="AR4" s="49" t="s">
        <v>53</v>
      </c>
      <c r="AS4" s="49" t="s">
        <v>55</v>
      </c>
    </row>
    <row r="5" spans="1:45" s="46" customFormat="1" x14ac:dyDescent="0.25">
      <c r="A5" s="44" t="s">
        <v>3</v>
      </c>
      <c r="B5" s="41">
        <v>53840</v>
      </c>
      <c r="C5" s="41">
        <v>67482</v>
      </c>
      <c r="D5" s="41">
        <v>111759</v>
      </c>
      <c r="E5" s="41">
        <v>175099</v>
      </c>
      <c r="F5" s="41">
        <v>215062</v>
      </c>
      <c r="G5" s="41">
        <v>220740</v>
      </c>
      <c r="H5" s="41">
        <v>247016</v>
      </c>
      <c r="I5" s="42">
        <v>248441</v>
      </c>
      <c r="J5" s="42">
        <v>238464</v>
      </c>
      <c r="K5" s="42">
        <f>I5-$H$5</f>
        <v>1425</v>
      </c>
      <c r="L5" s="42">
        <f>J5-$H5</f>
        <v>-8552</v>
      </c>
      <c r="M5" s="41">
        <v>277484</v>
      </c>
      <c r="N5" s="42">
        <v>287218</v>
      </c>
      <c r="O5" s="42">
        <v>256467</v>
      </c>
      <c r="P5" s="42">
        <f>N5-$M5</f>
        <v>9734</v>
      </c>
      <c r="Q5" s="42">
        <f t="shared" ref="Q5:Q19" si="0">O5-$M5</f>
        <v>-21017</v>
      </c>
      <c r="R5" s="45">
        <v>310863</v>
      </c>
      <c r="S5" s="42">
        <v>329249</v>
      </c>
      <c r="T5" s="42">
        <v>271216</v>
      </c>
      <c r="U5" s="42">
        <f>S5-$R5</f>
        <v>18386</v>
      </c>
      <c r="V5" s="42">
        <f>T5-$R5</f>
        <v>-39647</v>
      </c>
      <c r="W5" s="45">
        <v>340917</v>
      </c>
      <c r="X5" s="42">
        <v>373888</v>
      </c>
      <c r="Y5" s="42">
        <v>283357</v>
      </c>
      <c r="Z5" s="42">
        <f>X5-$W5</f>
        <v>32971</v>
      </c>
      <c r="AA5" s="42">
        <f t="shared" ref="AA5:AA19" si="1">Y5-$W5</f>
        <v>-57560</v>
      </c>
      <c r="AB5" s="45">
        <v>369307</v>
      </c>
      <c r="AC5" s="42">
        <v>420768</v>
      </c>
      <c r="AD5" s="42">
        <v>293257</v>
      </c>
      <c r="AE5" s="42">
        <f>AC5-$AB5</f>
        <v>51461</v>
      </c>
      <c r="AF5" s="42">
        <f t="shared" ref="AF5:AF19" si="2">AD5-$AB5</f>
        <v>-76050</v>
      </c>
      <c r="AG5" s="45">
        <v>397697</v>
      </c>
      <c r="AH5" s="42">
        <v>469644</v>
      </c>
      <c r="AI5" s="42">
        <v>301161</v>
      </c>
      <c r="AJ5" s="42">
        <f>AH5-$AG5</f>
        <v>71947</v>
      </c>
      <c r="AK5" s="42">
        <f t="shared" ref="AK5:AK19" si="3">AI5-$AG5</f>
        <v>-96536</v>
      </c>
      <c r="AM5" s="50">
        <f>G5-B5</f>
        <v>166900</v>
      </c>
      <c r="AN5" s="51">
        <f>AM5/B5</f>
        <v>3.0999257057949481</v>
      </c>
      <c r="AO5" s="52">
        <f>(G5/B5)^(1/($G$3-$B$3))-1</f>
        <v>3.5012883497588909E-2</v>
      </c>
      <c r="AQ5" s="50">
        <f>AG5-G5</f>
        <v>176957</v>
      </c>
      <c r="AR5" s="51">
        <f>AQ5/G5</f>
        <v>0.80165352903868803</v>
      </c>
      <c r="AS5" s="52">
        <f>(AG5/G5)^(1/($AG$3-$G$3))-1</f>
        <v>2.0507617733701355E-2</v>
      </c>
    </row>
    <row r="6" spans="1:45" s="46" customFormat="1" x14ac:dyDescent="0.25">
      <c r="A6" s="44" t="s">
        <v>4</v>
      </c>
      <c r="B6" s="41">
        <v>93678</v>
      </c>
      <c r="C6" s="41">
        <v>103823</v>
      </c>
      <c r="D6" s="41">
        <v>123485</v>
      </c>
      <c r="E6" s="41">
        <v>146417</v>
      </c>
      <c r="F6" s="41">
        <v>159357</v>
      </c>
      <c r="G6" s="41">
        <v>161064</v>
      </c>
      <c r="H6" s="41">
        <v>169183</v>
      </c>
      <c r="I6" s="42">
        <v>171704</v>
      </c>
      <c r="J6" s="42">
        <v>163990</v>
      </c>
      <c r="K6" s="42">
        <f t="shared" ref="K6:K20" si="4">I6-H6</f>
        <v>2521</v>
      </c>
      <c r="L6" s="42">
        <f t="shared" ref="L6:L20" si="5">J6-$H6</f>
        <v>-5193</v>
      </c>
      <c r="M6" s="41">
        <v>178449</v>
      </c>
      <c r="N6" s="42">
        <v>188541</v>
      </c>
      <c r="O6" s="42">
        <v>164104</v>
      </c>
      <c r="P6" s="42">
        <f t="shared" ref="P6:P19" si="6">N6-$M6</f>
        <v>10092</v>
      </c>
      <c r="Q6" s="42">
        <f t="shared" si="0"/>
        <v>-14345</v>
      </c>
      <c r="R6" s="45">
        <v>188820</v>
      </c>
      <c r="S6" s="42">
        <v>208055</v>
      </c>
      <c r="T6" s="42">
        <v>161542</v>
      </c>
      <c r="U6" s="42">
        <f t="shared" ref="U6:U19" si="7">S6-$R6</f>
        <v>19235</v>
      </c>
      <c r="V6" s="42">
        <f t="shared" ref="V6:V19" si="8">T6-$R6</f>
        <v>-27278</v>
      </c>
      <c r="W6" s="45">
        <v>197928</v>
      </c>
      <c r="X6" s="42">
        <v>229705</v>
      </c>
      <c r="Y6" s="42">
        <v>156843</v>
      </c>
      <c r="Z6" s="42">
        <f t="shared" ref="Z6:Z19" si="9">X6-$W6</f>
        <v>31777</v>
      </c>
      <c r="AA6" s="42">
        <f t="shared" si="1"/>
        <v>-41085</v>
      </c>
      <c r="AB6" s="45">
        <v>206404</v>
      </c>
      <c r="AC6" s="42">
        <v>253189</v>
      </c>
      <c r="AD6" s="42">
        <v>150311</v>
      </c>
      <c r="AE6" s="42">
        <f t="shared" ref="AE6:AE19" si="10">AC6-$AB6</f>
        <v>46785</v>
      </c>
      <c r="AF6" s="42">
        <f t="shared" si="2"/>
        <v>-56093</v>
      </c>
      <c r="AG6" s="45">
        <v>214880</v>
      </c>
      <c r="AH6" s="42">
        <v>278304</v>
      </c>
      <c r="AI6" s="42">
        <v>142147</v>
      </c>
      <c r="AJ6" s="42">
        <f t="shared" ref="AJ6:AJ19" si="11">AH6-$AG6</f>
        <v>63424</v>
      </c>
      <c r="AK6" s="42">
        <f t="shared" si="3"/>
        <v>-72733</v>
      </c>
      <c r="AM6" s="50">
        <f>G6-B6</f>
        <v>67386</v>
      </c>
      <c r="AN6" s="51">
        <f>AM6/B6</f>
        <v>0.71933645039390248</v>
      </c>
      <c r="AO6" s="52">
        <f>(G6/B6)^(1/($G$3-$B$3))-1</f>
        <v>1.3305754605838604E-2</v>
      </c>
      <c r="AQ6" s="50">
        <f t="shared" ref="AQ6:AQ20" si="12">AG6-G6</f>
        <v>53816</v>
      </c>
      <c r="AR6" s="51">
        <f t="shared" ref="AR6:AR20" si="13">AQ6/G6</f>
        <v>0.33412804847762378</v>
      </c>
      <c r="AS6" s="52">
        <f t="shared" ref="AS6:AS20" si="14">(AG6/G6)^(1/($AG$3-$G$3))-1</f>
        <v>9.9901903881243204E-3</v>
      </c>
    </row>
    <row r="7" spans="1:45" s="47" customFormat="1" x14ac:dyDescent="0.25">
      <c r="A7" s="44" t="s">
        <v>12</v>
      </c>
      <c r="B7" s="41">
        <v>27467</v>
      </c>
      <c r="C7" s="41">
        <v>27501</v>
      </c>
      <c r="D7" s="41">
        <v>28495</v>
      </c>
      <c r="E7" s="41">
        <v>29014</v>
      </c>
      <c r="F7" s="41">
        <v>28939</v>
      </c>
      <c r="G7" s="41">
        <v>28906</v>
      </c>
      <c r="H7" s="41">
        <v>29419</v>
      </c>
      <c r="I7" s="42">
        <v>29855</v>
      </c>
      <c r="J7" s="42">
        <v>28912</v>
      </c>
      <c r="K7" s="42">
        <f t="shared" si="4"/>
        <v>436</v>
      </c>
      <c r="L7" s="42">
        <f t="shared" si="5"/>
        <v>-507</v>
      </c>
      <c r="M7" s="41">
        <v>30011</v>
      </c>
      <c r="N7" s="42">
        <v>31216</v>
      </c>
      <c r="O7" s="42">
        <v>28691</v>
      </c>
      <c r="P7" s="42">
        <f t="shared" si="6"/>
        <v>1205</v>
      </c>
      <c r="Q7" s="42">
        <f t="shared" si="0"/>
        <v>-1320</v>
      </c>
      <c r="R7" s="45">
        <v>30634</v>
      </c>
      <c r="S7" s="42">
        <v>32814</v>
      </c>
      <c r="T7" s="42">
        <v>28240</v>
      </c>
      <c r="U7" s="42">
        <f t="shared" si="7"/>
        <v>2180</v>
      </c>
      <c r="V7" s="42">
        <f t="shared" si="8"/>
        <v>-2394</v>
      </c>
      <c r="W7" s="45">
        <v>31220</v>
      </c>
      <c r="X7" s="42">
        <v>34594</v>
      </c>
      <c r="Y7" s="42">
        <v>27601</v>
      </c>
      <c r="Z7" s="42">
        <f t="shared" si="9"/>
        <v>3374</v>
      </c>
      <c r="AA7" s="42">
        <f t="shared" si="1"/>
        <v>-3619</v>
      </c>
      <c r="AB7" s="45">
        <v>31790</v>
      </c>
      <c r="AC7" s="42">
        <v>36534</v>
      </c>
      <c r="AD7" s="42">
        <v>26802</v>
      </c>
      <c r="AE7" s="42">
        <f t="shared" si="10"/>
        <v>4744</v>
      </c>
      <c r="AF7" s="42">
        <f t="shared" si="2"/>
        <v>-4988</v>
      </c>
      <c r="AG7" s="45">
        <v>32360</v>
      </c>
      <c r="AH7" s="42">
        <v>38618</v>
      </c>
      <c r="AI7" s="42">
        <v>25859</v>
      </c>
      <c r="AJ7" s="42">
        <f t="shared" si="11"/>
        <v>6258</v>
      </c>
      <c r="AK7" s="42">
        <f t="shared" si="3"/>
        <v>-6501</v>
      </c>
      <c r="AM7" s="50">
        <f t="shared" ref="AM7:AM20" si="15">G7-B7</f>
        <v>1439</v>
      </c>
      <c r="AN7" s="51">
        <f t="shared" ref="AN7:AN20" si="16">AM7/B7</f>
        <v>5.2390140896348344E-2</v>
      </c>
      <c r="AO7" s="52">
        <f t="shared" ref="AO7:AO20" si="17">(G7/B7)^(1/($G$3-$B$3))-1</f>
        <v>1.2462369313659405E-3</v>
      </c>
      <c r="AQ7" s="50">
        <f t="shared" si="12"/>
        <v>3454</v>
      </c>
      <c r="AR7" s="51">
        <f t="shared" si="13"/>
        <v>0.11949076316335709</v>
      </c>
      <c r="AS7" s="52">
        <f t="shared" si="14"/>
        <v>3.8997881223810094E-3</v>
      </c>
    </row>
    <row r="8" spans="1:45" s="46" customFormat="1" x14ac:dyDescent="0.25">
      <c r="A8" s="44" t="s">
        <v>5</v>
      </c>
      <c r="B8" s="41">
        <v>869126</v>
      </c>
      <c r="C8" s="41">
        <v>965600</v>
      </c>
      <c r="D8" s="41">
        <v>1072018</v>
      </c>
      <c r="E8" s="41">
        <v>1166202</v>
      </c>
      <c r="F8" s="41">
        <v>1324013</v>
      </c>
      <c r="G8" s="41">
        <v>1321414</v>
      </c>
      <c r="H8" s="41">
        <v>1390127</v>
      </c>
      <c r="I8" s="42">
        <v>1409654</v>
      </c>
      <c r="J8" s="42">
        <v>1333445</v>
      </c>
      <c r="K8" s="42">
        <f t="shared" si="4"/>
        <v>19527</v>
      </c>
      <c r="L8" s="42">
        <f t="shared" si="5"/>
        <v>-56682</v>
      </c>
      <c r="M8" s="41">
        <v>1447090</v>
      </c>
      <c r="N8" s="42">
        <v>1506988</v>
      </c>
      <c r="O8" s="42">
        <v>1327469</v>
      </c>
      <c r="P8" s="42">
        <f t="shared" si="6"/>
        <v>59898</v>
      </c>
      <c r="Q8" s="42">
        <f t="shared" si="0"/>
        <v>-119621</v>
      </c>
      <c r="R8" s="45">
        <v>1519844</v>
      </c>
      <c r="S8" s="42">
        <v>1617180</v>
      </c>
      <c r="T8" s="42">
        <v>1308636</v>
      </c>
      <c r="U8" s="42">
        <f t="shared" si="7"/>
        <v>97336</v>
      </c>
      <c r="V8" s="42">
        <f t="shared" si="8"/>
        <v>-211208</v>
      </c>
      <c r="W8" s="45">
        <v>1574551</v>
      </c>
      <c r="X8" s="42">
        <v>1738045</v>
      </c>
      <c r="Y8" s="42">
        <v>1279131</v>
      </c>
      <c r="Z8" s="42">
        <f t="shared" si="9"/>
        <v>163494</v>
      </c>
      <c r="AA8" s="42">
        <f t="shared" si="1"/>
        <v>-295420</v>
      </c>
      <c r="AB8" s="45">
        <v>1620232</v>
      </c>
      <c r="AC8" s="42">
        <v>1868239</v>
      </c>
      <c r="AD8" s="42">
        <v>1240296</v>
      </c>
      <c r="AE8" s="42">
        <f t="shared" si="10"/>
        <v>248007</v>
      </c>
      <c r="AF8" s="42">
        <f t="shared" si="2"/>
        <v>-379936</v>
      </c>
      <c r="AG8" s="45">
        <v>1665914</v>
      </c>
      <c r="AH8" s="42">
        <v>2006828</v>
      </c>
      <c r="AI8" s="42">
        <v>1193066</v>
      </c>
      <c r="AJ8" s="42">
        <f t="shared" si="11"/>
        <v>340914</v>
      </c>
      <c r="AK8" s="42">
        <f t="shared" si="3"/>
        <v>-472848</v>
      </c>
      <c r="AM8" s="50">
        <f t="shared" si="15"/>
        <v>452288</v>
      </c>
      <c r="AN8" s="51">
        <f t="shared" si="16"/>
        <v>0.52039405103517788</v>
      </c>
      <c r="AO8" s="52">
        <f t="shared" si="17"/>
        <v>1.0271159324551471E-2</v>
      </c>
      <c r="AQ8" s="50">
        <f t="shared" si="12"/>
        <v>344500</v>
      </c>
      <c r="AR8" s="51">
        <f t="shared" si="13"/>
        <v>0.260705577510152</v>
      </c>
      <c r="AS8" s="52">
        <f t="shared" si="14"/>
        <v>8.0206686108330594E-3</v>
      </c>
    </row>
    <row r="9" spans="1:45" s="47" customFormat="1" x14ac:dyDescent="0.25">
      <c r="A9" s="44" t="s">
        <v>13</v>
      </c>
      <c r="B9" s="41">
        <v>24304</v>
      </c>
      <c r="C9" s="41">
        <v>25594</v>
      </c>
      <c r="D9" s="41">
        <v>28262</v>
      </c>
      <c r="E9" s="41">
        <v>29478</v>
      </c>
      <c r="F9" s="41">
        <v>27999</v>
      </c>
      <c r="G9" s="41">
        <v>28097</v>
      </c>
      <c r="H9" s="41">
        <v>27965</v>
      </c>
      <c r="I9" s="42">
        <v>28660</v>
      </c>
      <c r="J9" s="42">
        <v>27122</v>
      </c>
      <c r="K9" s="42">
        <f t="shared" si="4"/>
        <v>695</v>
      </c>
      <c r="L9" s="42">
        <f t="shared" si="5"/>
        <v>-843</v>
      </c>
      <c r="M9" s="41">
        <v>27762</v>
      </c>
      <c r="N9" s="42">
        <v>29751</v>
      </c>
      <c r="O9" s="42">
        <v>25535</v>
      </c>
      <c r="P9" s="42">
        <f t="shared" si="6"/>
        <v>1989</v>
      </c>
      <c r="Q9" s="42">
        <f t="shared" si="0"/>
        <v>-2227</v>
      </c>
      <c r="R9" s="45">
        <v>27629</v>
      </c>
      <c r="S9" s="42">
        <v>31239</v>
      </c>
      <c r="T9" s="42">
        <v>23571</v>
      </c>
      <c r="U9" s="42">
        <f t="shared" si="7"/>
        <v>3610</v>
      </c>
      <c r="V9" s="42">
        <f t="shared" si="8"/>
        <v>-4058</v>
      </c>
      <c r="W9" s="45">
        <v>27428</v>
      </c>
      <c r="X9" s="42">
        <v>33041</v>
      </c>
      <c r="Y9" s="42">
        <v>21295</v>
      </c>
      <c r="Z9" s="42">
        <f t="shared" si="9"/>
        <v>5613</v>
      </c>
      <c r="AA9" s="42">
        <f t="shared" si="1"/>
        <v>-6133</v>
      </c>
      <c r="AB9" s="45">
        <v>27190</v>
      </c>
      <c r="AC9" s="42">
        <v>35114</v>
      </c>
      <c r="AD9" s="42">
        <v>18747</v>
      </c>
      <c r="AE9" s="42">
        <f t="shared" si="10"/>
        <v>7924</v>
      </c>
      <c r="AF9" s="42">
        <f t="shared" si="2"/>
        <v>-8443</v>
      </c>
      <c r="AG9" s="45">
        <v>26953</v>
      </c>
      <c r="AH9" s="42">
        <v>37429</v>
      </c>
      <c r="AI9" s="42">
        <v>15958</v>
      </c>
      <c r="AJ9" s="42">
        <f t="shared" si="11"/>
        <v>10476</v>
      </c>
      <c r="AK9" s="42">
        <f t="shared" si="3"/>
        <v>-10995</v>
      </c>
      <c r="AM9" s="50">
        <f t="shared" si="15"/>
        <v>3793</v>
      </c>
      <c r="AN9" s="51">
        <f t="shared" si="16"/>
        <v>0.15606484529295589</v>
      </c>
      <c r="AO9" s="52">
        <f t="shared" si="17"/>
        <v>3.5433816013270558E-3</v>
      </c>
      <c r="AQ9" s="50">
        <f t="shared" si="12"/>
        <v>-1144</v>
      </c>
      <c r="AR9" s="51">
        <f t="shared" si="13"/>
        <v>-4.0716090685838348E-2</v>
      </c>
      <c r="AS9" s="52">
        <f t="shared" si="14"/>
        <v>-1.4323594222954705E-3</v>
      </c>
    </row>
    <row r="10" spans="1:45" s="47" customFormat="1" x14ac:dyDescent="0.25">
      <c r="A10" s="44" t="s">
        <v>14</v>
      </c>
      <c r="B10" s="41">
        <v>46304</v>
      </c>
      <c r="C10" s="41">
        <v>47637</v>
      </c>
      <c r="D10" s="41">
        <v>54616</v>
      </c>
      <c r="E10" s="41">
        <v>61090</v>
      </c>
      <c r="F10" s="41">
        <v>62765</v>
      </c>
      <c r="G10" s="41">
        <v>62897</v>
      </c>
      <c r="H10" s="41">
        <v>64157</v>
      </c>
      <c r="I10" s="42">
        <v>65164</v>
      </c>
      <c r="J10" s="42">
        <v>61970</v>
      </c>
      <c r="K10" s="42">
        <f t="shared" si="4"/>
        <v>1007</v>
      </c>
      <c r="L10" s="42">
        <f t="shared" si="5"/>
        <v>-2187</v>
      </c>
      <c r="M10" s="41">
        <v>65339</v>
      </c>
      <c r="N10" s="42">
        <v>69227</v>
      </c>
      <c r="O10" s="42">
        <v>59572</v>
      </c>
      <c r="P10" s="42">
        <f t="shared" si="6"/>
        <v>3888</v>
      </c>
      <c r="Q10" s="42">
        <f t="shared" si="0"/>
        <v>-5767</v>
      </c>
      <c r="R10" s="45">
        <v>67013</v>
      </c>
      <c r="S10" s="42">
        <v>74288</v>
      </c>
      <c r="T10" s="42">
        <v>56176</v>
      </c>
      <c r="U10" s="42">
        <f t="shared" si="7"/>
        <v>7275</v>
      </c>
      <c r="V10" s="42">
        <f t="shared" si="8"/>
        <v>-10837</v>
      </c>
      <c r="W10" s="45">
        <v>68125</v>
      </c>
      <c r="X10" s="42">
        <v>80150</v>
      </c>
      <c r="Y10" s="42">
        <v>51978</v>
      </c>
      <c r="Z10" s="42">
        <f t="shared" si="9"/>
        <v>12025</v>
      </c>
      <c r="AA10" s="42">
        <f t="shared" si="1"/>
        <v>-16147</v>
      </c>
      <c r="AB10" s="45">
        <v>68957</v>
      </c>
      <c r="AC10" s="42">
        <v>86702</v>
      </c>
      <c r="AD10" s="42">
        <v>47091</v>
      </c>
      <c r="AE10" s="42">
        <f t="shared" si="10"/>
        <v>17745</v>
      </c>
      <c r="AF10" s="42">
        <f t="shared" si="2"/>
        <v>-21866</v>
      </c>
      <c r="AG10" s="45">
        <v>69790</v>
      </c>
      <c r="AH10" s="42">
        <v>93868</v>
      </c>
      <c r="AI10" s="42">
        <v>41589</v>
      </c>
      <c r="AJ10" s="42">
        <f t="shared" si="11"/>
        <v>24078</v>
      </c>
      <c r="AK10" s="42">
        <f t="shared" si="3"/>
        <v>-28201</v>
      </c>
      <c r="AM10" s="50">
        <f t="shared" si="15"/>
        <v>16593</v>
      </c>
      <c r="AN10" s="51">
        <f t="shared" si="16"/>
        <v>0.35834917069799588</v>
      </c>
      <c r="AO10" s="52">
        <f t="shared" si="17"/>
        <v>7.4979729361104308E-3</v>
      </c>
      <c r="AQ10" s="50">
        <f t="shared" si="12"/>
        <v>6893</v>
      </c>
      <c r="AR10" s="51">
        <f t="shared" si="13"/>
        <v>0.10959187242634784</v>
      </c>
      <c r="AS10" s="52">
        <f t="shared" si="14"/>
        <v>3.5923773554107363E-3</v>
      </c>
    </row>
    <row r="11" spans="1:45" s="46" customFormat="1" x14ac:dyDescent="0.25">
      <c r="A11" s="44" t="s">
        <v>6</v>
      </c>
      <c r="B11" s="41">
        <v>120981</v>
      </c>
      <c r="C11" s="41">
        <v>129006</v>
      </c>
      <c r="D11" s="41">
        <v>146268</v>
      </c>
      <c r="E11" s="41">
        <v>166705</v>
      </c>
      <c r="F11" s="41">
        <v>178680</v>
      </c>
      <c r="G11" s="41">
        <v>180401</v>
      </c>
      <c r="H11" s="41">
        <v>190915</v>
      </c>
      <c r="I11" s="42">
        <v>189312</v>
      </c>
      <c r="J11" s="42">
        <v>176808</v>
      </c>
      <c r="K11" s="42">
        <f t="shared" si="4"/>
        <v>-1603</v>
      </c>
      <c r="L11" s="42">
        <f t="shared" si="5"/>
        <v>-14107</v>
      </c>
      <c r="M11" s="41">
        <v>200710</v>
      </c>
      <c r="N11" s="42">
        <v>203164</v>
      </c>
      <c r="O11" s="42">
        <v>173324</v>
      </c>
      <c r="P11" s="42">
        <f t="shared" si="6"/>
        <v>2454</v>
      </c>
      <c r="Q11" s="42">
        <f t="shared" si="0"/>
        <v>-27386</v>
      </c>
      <c r="R11" s="45">
        <v>216962</v>
      </c>
      <c r="S11" s="42">
        <v>219200</v>
      </c>
      <c r="T11" s="42">
        <v>167658</v>
      </c>
      <c r="U11" s="42">
        <f t="shared" si="7"/>
        <v>2238</v>
      </c>
      <c r="V11" s="42">
        <f t="shared" si="8"/>
        <v>-49304</v>
      </c>
      <c r="W11" s="45">
        <v>225833</v>
      </c>
      <c r="X11" s="42">
        <v>237045</v>
      </c>
      <c r="Y11" s="42">
        <v>160181</v>
      </c>
      <c r="Z11" s="42">
        <f t="shared" si="9"/>
        <v>11212</v>
      </c>
      <c r="AA11" s="42">
        <f t="shared" si="1"/>
        <v>-65652</v>
      </c>
      <c r="AB11" s="45">
        <v>231017</v>
      </c>
      <c r="AC11" s="42">
        <v>256471</v>
      </c>
      <c r="AD11" s="42">
        <v>151123</v>
      </c>
      <c r="AE11" s="42">
        <f t="shared" si="10"/>
        <v>25454</v>
      </c>
      <c r="AF11" s="42">
        <f t="shared" si="2"/>
        <v>-79894</v>
      </c>
      <c r="AG11" s="45">
        <v>236202</v>
      </c>
      <c r="AH11" s="42">
        <v>277319</v>
      </c>
      <c r="AI11" s="42">
        <v>140644</v>
      </c>
      <c r="AJ11" s="42">
        <f t="shared" si="11"/>
        <v>41117</v>
      </c>
      <c r="AK11" s="42">
        <f t="shared" si="3"/>
        <v>-95558</v>
      </c>
      <c r="AM11" s="50">
        <f t="shared" si="15"/>
        <v>59420</v>
      </c>
      <c r="AN11" s="51">
        <f t="shared" si="16"/>
        <v>0.49115150312859046</v>
      </c>
      <c r="AO11" s="52">
        <f t="shared" si="17"/>
        <v>9.7927268364503828E-3</v>
      </c>
      <c r="AQ11" s="50">
        <f t="shared" si="12"/>
        <v>55801</v>
      </c>
      <c r="AR11" s="51">
        <f t="shared" si="13"/>
        <v>0.30931646720361861</v>
      </c>
      <c r="AS11" s="52">
        <f t="shared" si="14"/>
        <v>9.3366000971795149E-3</v>
      </c>
    </row>
    <row r="12" spans="1:45" s="47" customFormat="1" x14ac:dyDescent="0.25">
      <c r="A12" s="44" t="s">
        <v>15</v>
      </c>
      <c r="B12" s="41">
        <v>39155</v>
      </c>
      <c r="C12" s="41">
        <v>42417</v>
      </c>
      <c r="D12" s="41">
        <v>45984</v>
      </c>
      <c r="E12" s="41">
        <v>45743</v>
      </c>
      <c r="F12" s="41">
        <v>46065</v>
      </c>
      <c r="G12" s="41">
        <v>46035</v>
      </c>
      <c r="H12" s="41">
        <v>46095</v>
      </c>
      <c r="I12" s="42">
        <v>47290</v>
      </c>
      <c r="J12" s="42">
        <v>44871</v>
      </c>
      <c r="K12" s="42">
        <f t="shared" si="4"/>
        <v>1195</v>
      </c>
      <c r="L12" s="42">
        <f t="shared" si="5"/>
        <v>-1224</v>
      </c>
      <c r="M12" s="41">
        <v>46407</v>
      </c>
      <c r="N12" s="42">
        <v>49351</v>
      </c>
      <c r="O12" s="42">
        <v>43377</v>
      </c>
      <c r="P12" s="42">
        <f t="shared" si="6"/>
        <v>2944</v>
      </c>
      <c r="Q12" s="42">
        <f t="shared" si="0"/>
        <v>-3030</v>
      </c>
      <c r="R12" s="45">
        <v>46763</v>
      </c>
      <c r="S12" s="42">
        <v>51833</v>
      </c>
      <c r="T12" s="42">
        <v>41448</v>
      </c>
      <c r="U12" s="42">
        <f t="shared" si="7"/>
        <v>5070</v>
      </c>
      <c r="V12" s="42">
        <f t="shared" si="8"/>
        <v>-5315</v>
      </c>
      <c r="W12" s="45">
        <v>47058</v>
      </c>
      <c r="X12" s="42">
        <v>54679</v>
      </c>
      <c r="Y12" s="42">
        <v>39156</v>
      </c>
      <c r="Z12" s="42">
        <f t="shared" si="9"/>
        <v>7621</v>
      </c>
      <c r="AA12" s="42">
        <f t="shared" si="1"/>
        <v>-7902</v>
      </c>
      <c r="AB12" s="45">
        <v>47335</v>
      </c>
      <c r="AC12" s="42">
        <v>57844</v>
      </c>
      <c r="AD12" s="42">
        <v>36544</v>
      </c>
      <c r="AE12" s="42">
        <f t="shared" si="10"/>
        <v>10509</v>
      </c>
      <c r="AF12" s="42">
        <f t="shared" si="2"/>
        <v>-10791</v>
      </c>
      <c r="AG12" s="45">
        <v>47611</v>
      </c>
      <c r="AH12" s="42">
        <v>61297</v>
      </c>
      <c r="AI12" s="42">
        <v>33644</v>
      </c>
      <c r="AJ12" s="42">
        <f t="shared" si="11"/>
        <v>13686</v>
      </c>
      <c r="AK12" s="42">
        <f t="shared" si="3"/>
        <v>-13967</v>
      </c>
      <c r="AM12" s="50">
        <f t="shared" si="15"/>
        <v>6880</v>
      </c>
      <c r="AN12" s="51">
        <f t="shared" si="16"/>
        <v>0.17571191418720469</v>
      </c>
      <c r="AO12" s="52">
        <f t="shared" si="17"/>
        <v>3.9559468297183376E-3</v>
      </c>
      <c r="AQ12" s="50">
        <f t="shared" si="12"/>
        <v>1576</v>
      </c>
      <c r="AR12" s="51">
        <f t="shared" si="13"/>
        <v>3.4234821331595527E-2</v>
      </c>
      <c r="AS12" s="52">
        <f t="shared" si="14"/>
        <v>1.1614273914668516E-3</v>
      </c>
    </row>
    <row r="13" spans="1:45" s="46" customFormat="1" x14ac:dyDescent="0.25">
      <c r="A13" s="44" t="s">
        <v>7</v>
      </c>
      <c r="B13" s="41">
        <v>33004</v>
      </c>
      <c r="C13" s="41">
        <v>37111</v>
      </c>
      <c r="D13" s="41">
        <v>40218</v>
      </c>
      <c r="E13" s="41">
        <v>43434</v>
      </c>
      <c r="F13" s="41">
        <v>43823</v>
      </c>
      <c r="G13" s="41">
        <v>44386</v>
      </c>
      <c r="H13" s="41">
        <v>46487</v>
      </c>
      <c r="I13" s="42">
        <v>49508</v>
      </c>
      <c r="J13" s="42">
        <v>42918</v>
      </c>
      <c r="K13" s="42">
        <f t="shared" si="4"/>
        <v>3021</v>
      </c>
      <c r="L13" s="42">
        <f t="shared" si="5"/>
        <v>-3569</v>
      </c>
      <c r="M13" s="41">
        <v>48833</v>
      </c>
      <c r="N13" s="42">
        <v>58168</v>
      </c>
      <c r="O13" s="42">
        <v>38616</v>
      </c>
      <c r="P13" s="42">
        <f t="shared" si="6"/>
        <v>9335</v>
      </c>
      <c r="Q13" s="42">
        <f t="shared" si="0"/>
        <v>-10217</v>
      </c>
      <c r="R13" s="45">
        <v>51412</v>
      </c>
      <c r="S13" s="42">
        <v>68798</v>
      </c>
      <c r="T13" s="42">
        <v>32345</v>
      </c>
      <c r="U13" s="42">
        <f t="shared" si="7"/>
        <v>17386</v>
      </c>
      <c r="V13" s="42">
        <f t="shared" si="8"/>
        <v>-19067</v>
      </c>
      <c r="W13" s="45">
        <v>53726</v>
      </c>
      <c r="X13" s="42">
        <v>81014</v>
      </c>
      <c r="Y13" s="42">
        <v>24486</v>
      </c>
      <c r="Z13" s="42">
        <f t="shared" si="9"/>
        <v>27288</v>
      </c>
      <c r="AA13" s="42">
        <f t="shared" si="1"/>
        <v>-29240</v>
      </c>
      <c r="AB13" s="45">
        <v>55905</v>
      </c>
      <c r="AC13" s="42">
        <v>94597</v>
      </c>
      <c r="AD13" s="42">
        <v>15261</v>
      </c>
      <c r="AE13" s="42">
        <f t="shared" si="10"/>
        <v>38692</v>
      </c>
      <c r="AF13" s="42">
        <f t="shared" si="2"/>
        <v>-40644</v>
      </c>
      <c r="AG13" s="45">
        <v>58084</v>
      </c>
      <c r="AH13" s="42">
        <v>109400</v>
      </c>
      <c r="AI13" s="42">
        <v>4816</v>
      </c>
      <c r="AJ13" s="42">
        <f t="shared" si="11"/>
        <v>51316</v>
      </c>
      <c r="AK13" s="42">
        <f t="shared" si="3"/>
        <v>-53268</v>
      </c>
      <c r="AM13" s="50">
        <f t="shared" si="15"/>
        <v>11382</v>
      </c>
      <c r="AN13" s="51">
        <f t="shared" si="16"/>
        <v>0.34486728881347717</v>
      </c>
      <c r="AO13" s="52">
        <f t="shared" si="17"/>
        <v>7.2528912906175691E-3</v>
      </c>
      <c r="AQ13" s="50">
        <f t="shared" si="12"/>
        <v>13698</v>
      </c>
      <c r="AR13" s="51">
        <f t="shared" si="13"/>
        <v>0.30861082323255079</v>
      </c>
      <c r="AS13" s="52">
        <f t="shared" si="14"/>
        <v>9.3178375391547164E-3</v>
      </c>
    </row>
    <row r="14" spans="1:45" s="47" customFormat="1" x14ac:dyDescent="0.25">
      <c r="A14" s="44" t="s">
        <v>16</v>
      </c>
      <c r="B14" s="41">
        <v>67974</v>
      </c>
      <c r="C14" s="41">
        <v>64289</v>
      </c>
      <c r="D14" s="41">
        <v>66135</v>
      </c>
      <c r="E14" s="41">
        <v>66458</v>
      </c>
      <c r="F14" s="41">
        <v>65363</v>
      </c>
      <c r="G14" s="41">
        <v>65291</v>
      </c>
      <c r="H14" s="41">
        <v>65314</v>
      </c>
      <c r="I14" s="42">
        <v>66329</v>
      </c>
      <c r="J14" s="42">
        <v>63731</v>
      </c>
      <c r="K14" s="42">
        <f t="shared" si="4"/>
        <v>1015</v>
      </c>
      <c r="L14" s="42">
        <f t="shared" si="5"/>
        <v>-1583</v>
      </c>
      <c r="M14" s="41">
        <v>65160</v>
      </c>
      <c r="N14" s="42">
        <v>66651</v>
      </c>
      <c r="O14" s="42">
        <v>62754</v>
      </c>
      <c r="P14" s="42">
        <f t="shared" si="6"/>
        <v>1491</v>
      </c>
      <c r="Q14" s="42">
        <f t="shared" si="0"/>
        <v>-2406</v>
      </c>
      <c r="R14" s="45">
        <v>65246</v>
      </c>
      <c r="S14" s="42">
        <v>66806</v>
      </c>
      <c r="T14" s="42">
        <v>61945</v>
      </c>
      <c r="U14" s="42">
        <f t="shared" si="7"/>
        <v>1560</v>
      </c>
      <c r="V14" s="42">
        <f t="shared" si="8"/>
        <v>-3301</v>
      </c>
      <c r="W14" s="45">
        <v>65059</v>
      </c>
      <c r="X14" s="42">
        <v>66879</v>
      </c>
      <c r="Y14" s="42">
        <v>61217</v>
      </c>
      <c r="Z14" s="42">
        <f t="shared" si="9"/>
        <v>1820</v>
      </c>
      <c r="AA14" s="42">
        <f t="shared" si="1"/>
        <v>-3842</v>
      </c>
      <c r="AB14" s="45">
        <v>64732</v>
      </c>
      <c r="AC14" s="42">
        <v>66903</v>
      </c>
      <c r="AD14" s="42">
        <v>60539</v>
      </c>
      <c r="AE14" s="42">
        <f t="shared" si="10"/>
        <v>2171</v>
      </c>
      <c r="AF14" s="42">
        <f t="shared" si="2"/>
        <v>-4193</v>
      </c>
      <c r="AG14" s="45">
        <v>64405</v>
      </c>
      <c r="AH14" s="42">
        <v>66892</v>
      </c>
      <c r="AI14" s="42">
        <v>59896</v>
      </c>
      <c r="AJ14" s="42">
        <f t="shared" si="11"/>
        <v>2487</v>
      </c>
      <c r="AK14" s="42">
        <f t="shared" si="3"/>
        <v>-4509</v>
      </c>
      <c r="AM14" s="50">
        <f t="shared" si="15"/>
        <v>-2683</v>
      </c>
      <c r="AN14" s="51">
        <f t="shared" si="16"/>
        <v>-3.9470974196016126E-2</v>
      </c>
      <c r="AO14" s="52">
        <f t="shared" si="17"/>
        <v>-9.8173918715394048E-4</v>
      </c>
      <c r="AQ14" s="50">
        <f t="shared" si="12"/>
        <v>-886</v>
      </c>
      <c r="AR14" s="51">
        <f t="shared" si="13"/>
        <v>-1.3570017307132682E-2</v>
      </c>
      <c r="AS14" s="52">
        <f t="shared" si="14"/>
        <v>-4.710246025273479E-4</v>
      </c>
    </row>
    <row r="15" spans="1:45" s="47" customFormat="1" x14ac:dyDescent="0.25">
      <c r="A15" s="44" t="s">
        <v>17</v>
      </c>
      <c r="B15" s="41">
        <v>26480</v>
      </c>
      <c r="C15" s="41">
        <v>27784</v>
      </c>
      <c r="D15" s="41">
        <v>31813</v>
      </c>
      <c r="E15" s="41">
        <v>34790</v>
      </c>
      <c r="F15" s="41">
        <v>34964</v>
      </c>
      <c r="G15" s="41">
        <v>35151</v>
      </c>
      <c r="H15" s="41">
        <v>36425</v>
      </c>
      <c r="I15" s="42">
        <v>37323</v>
      </c>
      <c r="J15" s="42">
        <v>34476</v>
      </c>
      <c r="K15" s="42">
        <f t="shared" si="4"/>
        <v>898</v>
      </c>
      <c r="L15" s="42">
        <f t="shared" si="5"/>
        <v>-1949</v>
      </c>
      <c r="M15" s="41">
        <v>37666</v>
      </c>
      <c r="N15" s="42">
        <v>41222</v>
      </c>
      <c r="O15" s="42">
        <v>32447</v>
      </c>
      <c r="P15" s="42">
        <f t="shared" si="6"/>
        <v>3556</v>
      </c>
      <c r="Q15" s="42">
        <f t="shared" si="0"/>
        <v>-5219</v>
      </c>
      <c r="R15" s="45">
        <v>39338</v>
      </c>
      <c r="S15" s="42">
        <v>46050</v>
      </c>
      <c r="T15" s="42">
        <v>29489</v>
      </c>
      <c r="U15" s="42">
        <f t="shared" si="7"/>
        <v>6712</v>
      </c>
      <c r="V15" s="42">
        <f t="shared" si="8"/>
        <v>-9849</v>
      </c>
      <c r="W15" s="45">
        <v>40519</v>
      </c>
      <c r="X15" s="42">
        <v>51621</v>
      </c>
      <c r="Y15" s="42">
        <v>25788</v>
      </c>
      <c r="Z15" s="42">
        <f t="shared" si="9"/>
        <v>11102</v>
      </c>
      <c r="AA15" s="42">
        <f t="shared" si="1"/>
        <v>-14731</v>
      </c>
      <c r="AB15" s="45">
        <v>41454</v>
      </c>
      <c r="AC15" s="42">
        <v>57832</v>
      </c>
      <c r="AD15" s="42">
        <v>21447</v>
      </c>
      <c r="AE15" s="42">
        <f t="shared" si="10"/>
        <v>16378</v>
      </c>
      <c r="AF15" s="42">
        <f t="shared" si="2"/>
        <v>-20007</v>
      </c>
      <c r="AG15" s="45">
        <v>42389</v>
      </c>
      <c r="AH15" s="42">
        <v>64613</v>
      </c>
      <c r="AI15" s="42">
        <v>16536</v>
      </c>
      <c r="AJ15" s="42">
        <f t="shared" si="11"/>
        <v>22224</v>
      </c>
      <c r="AK15" s="42">
        <f t="shared" si="3"/>
        <v>-25853</v>
      </c>
      <c r="AM15" s="50">
        <f t="shared" si="15"/>
        <v>8671</v>
      </c>
      <c r="AN15" s="51">
        <f t="shared" si="16"/>
        <v>0.32745468277945622</v>
      </c>
      <c r="AO15" s="52">
        <f t="shared" si="17"/>
        <v>6.9327831045136179E-3</v>
      </c>
      <c r="AQ15" s="50">
        <f t="shared" si="12"/>
        <v>7238</v>
      </c>
      <c r="AR15" s="51">
        <f t="shared" si="13"/>
        <v>0.20591163836021734</v>
      </c>
      <c r="AS15" s="52">
        <f t="shared" si="14"/>
        <v>6.4772953663285726E-3</v>
      </c>
    </row>
    <row r="16" spans="1:45" s="47" customFormat="1" x14ac:dyDescent="0.25">
      <c r="A16" s="44" t="s">
        <v>18</v>
      </c>
      <c r="B16" s="41">
        <v>31032</v>
      </c>
      <c r="C16" s="41">
        <v>31596</v>
      </c>
      <c r="D16" s="41">
        <v>34099</v>
      </c>
      <c r="E16" s="41">
        <v>36037</v>
      </c>
      <c r="F16" s="41">
        <v>35439</v>
      </c>
      <c r="G16" s="41">
        <v>35460</v>
      </c>
      <c r="H16" s="41">
        <v>36859</v>
      </c>
      <c r="I16" s="42">
        <v>38560</v>
      </c>
      <c r="J16" s="42">
        <v>34761</v>
      </c>
      <c r="K16" s="42">
        <f t="shared" si="4"/>
        <v>1701</v>
      </c>
      <c r="L16" s="42">
        <f t="shared" si="5"/>
        <v>-2098</v>
      </c>
      <c r="M16" s="41">
        <v>37415</v>
      </c>
      <c r="N16" s="42">
        <v>41469</v>
      </c>
      <c r="O16" s="42">
        <v>32732</v>
      </c>
      <c r="P16" s="42">
        <f t="shared" si="6"/>
        <v>4054</v>
      </c>
      <c r="Q16" s="42">
        <f t="shared" si="0"/>
        <v>-4683</v>
      </c>
      <c r="R16" s="45">
        <v>38131</v>
      </c>
      <c r="S16" s="42">
        <v>44979</v>
      </c>
      <c r="T16" s="42">
        <v>30102</v>
      </c>
      <c r="U16" s="42">
        <f t="shared" si="7"/>
        <v>6848</v>
      </c>
      <c r="V16" s="42">
        <f t="shared" si="8"/>
        <v>-8029</v>
      </c>
      <c r="W16" s="45">
        <v>38662</v>
      </c>
      <c r="X16" s="42">
        <v>48989</v>
      </c>
      <c r="Y16" s="42">
        <v>26972</v>
      </c>
      <c r="Z16" s="42">
        <f t="shared" si="9"/>
        <v>10327</v>
      </c>
      <c r="AA16" s="42">
        <f t="shared" si="1"/>
        <v>-11690</v>
      </c>
      <c r="AB16" s="45">
        <v>39102</v>
      </c>
      <c r="AC16" s="42">
        <v>53437</v>
      </c>
      <c r="AD16" s="42">
        <v>23404</v>
      </c>
      <c r="AE16" s="42">
        <f t="shared" si="10"/>
        <v>14335</v>
      </c>
      <c r="AF16" s="42">
        <f t="shared" si="2"/>
        <v>-15698</v>
      </c>
      <c r="AG16" s="45">
        <v>39542</v>
      </c>
      <c r="AH16" s="42">
        <v>58278</v>
      </c>
      <c r="AI16" s="42">
        <v>19442</v>
      </c>
      <c r="AJ16" s="42">
        <f t="shared" si="11"/>
        <v>18736</v>
      </c>
      <c r="AK16" s="42">
        <f t="shared" si="3"/>
        <v>-20100</v>
      </c>
      <c r="AM16" s="50">
        <f t="shared" si="15"/>
        <v>4428</v>
      </c>
      <c r="AN16" s="51">
        <f t="shared" si="16"/>
        <v>0.14269141531322505</v>
      </c>
      <c r="AO16" s="52">
        <f t="shared" si="17"/>
        <v>3.258623918958703E-3</v>
      </c>
      <c r="AQ16" s="50">
        <f t="shared" si="12"/>
        <v>4082</v>
      </c>
      <c r="AR16" s="51">
        <f t="shared" si="13"/>
        <v>0.11511562323745064</v>
      </c>
      <c r="AS16" s="52">
        <f t="shared" si="14"/>
        <v>3.7642428089197377E-3</v>
      </c>
    </row>
    <row r="17" spans="1:45" s="46" customFormat="1" x14ac:dyDescent="0.25">
      <c r="A17" s="44" t="s">
        <v>8</v>
      </c>
      <c r="B17" s="41">
        <v>43662</v>
      </c>
      <c r="C17" s="41">
        <v>48257</v>
      </c>
      <c r="D17" s="41">
        <v>52808</v>
      </c>
      <c r="E17" s="41">
        <v>55740</v>
      </c>
      <c r="F17" s="41">
        <v>58628</v>
      </c>
      <c r="G17" s="41">
        <v>59333</v>
      </c>
      <c r="H17" s="41">
        <v>62355</v>
      </c>
      <c r="I17" s="42">
        <v>66029</v>
      </c>
      <c r="J17" s="42">
        <v>58005</v>
      </c>
      <c r="K17" s="42">
        <f t="shared" si="4"/>
        <v>3674</v>
      </c>
      <c r="L17" s="42">
        <f t="shared" si="5"/>
        <v>-4350</v>
      </c>
      <c r="M17" s="41">
        <v>65891</v>
      </c>
      <c r="N17" s="42">
        <v>77450</v>
      </c>
      <c r="O17" s="42">
        <v>53249</v>
      </c>
      <c r="P17" s="42">
        <f t="shared" si="6"/>
        <v>11559</v>
      </c>
      <c r="Q17" s="42">
        <f t="shared" si="0"/>
        <v>-12642</v>
      </c>
      <c r="R17" s="45">
        <v>69716</v>
      </c>
      <c r="S17" s="42">
        <v>91360</v>
      </c>
      <c r="T17" s="42">
        <v>46004</v>
      </c>
      <c r="U17" s="42">
        <f t="shared" si="7"/>
        <v>21644</v>
      </c>
      <c r="V17" s="42">
        <f t="shared" si="8"/>
        <v>-23712</v>
      </c>
      <c r="W17" s="45">
        <v>73212</v>
      </c>
      <c r="X17" s="42">
        <v>107272</v>
      </c>
      <c r="Y17" s="42">
        <v>36758</v>
      </c>
      <c r="Z17" s="42">
        <f t="shared" si="9"/>
        <v>34060</v>
      </c>
      <c r="AA17" s="42">
        <f t="shared" si="1"/>
        <v>-36454</v>
      </c>
      <c r="AB17" s="45">
        <v>76545</v>
      </c>
      <c r="AC17" s="42">
        <v>124906</v>
      </c>
      <c r="AD17" s="42">
        <v>25789</v>
      </c>
      <c r="AE17" s="42">
        <f t="shared" si="10"/>
        <v>48361</v>
      </c>
      <c r="AF17" s="42">
        <f t="shared" si="2"/>
        <v>-50756</v>
      </c>
      <c r="AG17" s="45">
        <v>79877</v>
      </c>
      <c r="AH17" s="42">
        <v>144076</v>
      </c>
      <c r="AI17" s="42">
        <v>13285</v>
      </c>
      <c r="AJ17" s="42">
        <f t="shared" si="11"/>
        <v>64199</v>
      </c>
      <c r="AK17" s="42">
        <f t="shared" si="3"/>
        <v>-66592</v>
      </c>
      <c r="AM17" s="50">
        <f t="shared" si="15"/>
        <v>15671</v>
      </c>
      <c r="AN17" s="51">
        <f t="shared" si="16"/>
        <v>0.3589162200540516</v>
      </c>
      <c r="AO17" s="52">
        <f t="shared" si="17"/>
        <v>7.5082290147232555E-3</v>
      </c>
      <c r="AQ17" s="50">
        <f t="shared" si="12"/>
        <v>20544</v>
      </c>
      <c r="AR17" s="51">
        <f t="shared" si="13"/>
        <v>0.34624913623110243</v>
      </c>
      <c r="AS17" s="52">
        <f t="shared" si="14"/>
        <v>1.0305230259376685E-2</v>
      </c>
    </row>
    <row r="18" spans="1:45" s="47" customFormat="1" x14ac:dyDescent="0.25">
      <c r="A18" s="44" t="s">
        <v>19</v>
      </c>
      <c r="B18" s="41">
        <v>65004</v>
      </c>
      <c r="C18" s="41">
        <v>69401</v>
      </c>
      <c r="D18" s="41">
        <v>73507</v>
      </c>
      <c r="E18" s="41">
        <v>78098</v>
      </c>
      <c r="F18" s="41">
        <v>76985</v>
      </c>
      <c r="G18" s="41">
        <v>76891</v>
      </c>
      <c r="H18" s="41">
        <v>76590</v>
      </c>
      <c r="I18" s="42">
        <v>79695</v>
      </c>
      <c r="J18" s="42">
        <v>73390</v>
      </c>
      <c r="K18" s="42">
        <f t="shared" si="4"/>
        <v>3105</v>
      </c>
      <c r="L18" s="42">
        <f t="shared" si="5"/>
        <v>-3200</v>
      </c>
      <c r="M18" s="41">
        <v>76204</v>
      </c>
      <c r="N18" s="42">
        <v>85847</v>
      </c>
      <c r="O18" s="42">
        <v>66369</v>
      </c>
      <c r="P18" s="42">
        <f t="shared" si="6"/>
        <v>9643</v>
      </c>
      <c r="Q18" s="42">
        <f t="shared" si="0"/>
        <v>-9835</v>
      </c>
      <c r="R18" s="45">
        <v>75876</v>
      </c>
      <c r="S18" s="42">
        <v>94070</v>
      </c>
      <c r="T18" s="42">
        <v>57266</v>
      </c>
      <c r="U18" s="42">
        <f t="shared" si="7"/>
        <v>18194</v>
      </c>
      <c r="V18" s="42">
        <f t="shared" si="8"/>
        <v>-18610</v>
      </c>
      <c r="W18" s="45">
        <v>75478</v>
      </c>
      <c r="X18" s="42">
        <v>103952</v>
      </c>
      <c r="Y18" s="42">
        <v>46512</v>
      </c>
      <c r="Z18" s="42">
        <f t="shared" si="9"/>
        <v>28474</v>
      </c>
      <c r="AA18" s="42">
        <f t="shared" si="1"/>
        <v>-28966</v>
      </c>
      <c r="AB18" s="45">
        <v>75040</v>
      </c>
      <c r="AC18" s="42">
        <v>115258</v>
      </c>
      <c r="AD18" s="42">
        <v>34330</v>
      </c>
      <c r="AE18" s="42">
        <f t="shared" si="10"/>
        <v>40218</v>
      </c>
      <c r="AF18" s="42">
        <f t="shared" si="2"/>
        <v>-40710</v>
      </c>
      <c r="AG18" s="45">
        <v>74602</v>
      </c>
      <c r="AH18" s="42">
        <v>127833</v>
      </c>
      <c r="AI18" s="42">
        <v>20880</v>
      </c>
      <c r="AJ18" s="42">
        <f t="shared" si="11"/>
        <v>53231</v>
      </c>
      <c r="AK18" s="42">
        <f t="shared" si="3"/>
        <v>-53722</v>
      </c>
      <c r="AM18" s="50">
        <f t="shared" si="15"/>
        <v>11887</v>
      </c>
      <c r="AN18" s="51">
        <f t="shared" si="16"/>
        <v>0.18286566980493507</v>
      </c>
      <c r="AO18" s="52">
        <f t="shared" si="17"/>
        <v>4.104498722282468E-3</v>
      </c>
      <c r="AQ18" s="50">
        <f t="shared" si="12"/>
        <v>-2289</v>
      </c>
      <c r="AR18" s="51">
        <f t="shared" si="13"/>
        <v>-2.9769413845573606E-2</v>
      </c>
      <c r="AS18" s="52">
        <f t="shared" si="14"/>
        <v>-1.0415784922357396E-3</v>
      </c>
    </row>
    <row r="19" spans="1:45" s="46" customFormat="1" x14ac:dyDescent="0.25">
      <c r="A19" s="44" t="s">
        <v>9</v>
      </c>
      <c r="B19" s="41">
        <v>29536</v>
      </c>
      <c r="C19" s="41">
        <v>32010</v>
      </c>
      <c r="D19" s="41">
        <v>41338</v>
      </c>
      <c r="E19" s="41">
        <v>52464</v>
      </c>
      <c r="F19" s="41">
        <v>63077</v>
      </c>
      <c r="G19" s="41">
        <v>64971</v>
      </c>
      <c r="H19" s="41">
        <v>66408</v>
      </c>
      <c r="I19" s="42">
        <v>69664</v>
      </c>
      <c r="J19" s="42">
        <v>62368</v>
      </c>
      <c r="K19" s="42">
        <f t="shared" si="4"/>
        <v>3256</v>
      </c>
      <c r="L19" s="42">
        <f t="shared" si="5"/>
        <v>-4040</v>
      </c>
      <c r="M19" s="41">
        <v>72505</v>
      </c>
      <c r="N19" s="42">
        <v>80350</v>
      </c>
      <c r="O19" s="42">
        <v>63404</v>
      </c>
      <c r="P19" s="42">
        <f t="shared" si="6"/>
        <v>7845</v>
      </c>
      <c r="Q19" s="42">
        <f t="shared" si="0"/>
        <v>-9101</v>
      </c>
      <c r="R19" s="45">
        <v>78933</v>
      </c>
      <c r="S19" s="42">
        <v>92220</v>
      </c>
      <c r="T19" s="42">
        <v>63255</v>
      </c>
      <c r="U19" s="42">
        <f t="shared" si="7"/>
        <v>13287</v>
      </c>
      <c r="V19" s="42">
        <f t="shared" si="8"/>
        <v>-15678</v>
      </c>
      <c r="W19" s="45">
        <v>84983</v>
      </c>
      <c r="X19" s="42">
        <v>105075</v>
      </c>
      <c r="Y19" s="42">
        <v>62122</v>
      </c>
      <c r="Z19" s="42">
        <f t="shared" si="9"/>
        <v>20092</v>
      </c>
      <c r="AA19" s="42">
        <f t="shared" si="1"/>
        <v>-22861</v>
      </c>
      <c r="AB19" s="45">
        <v>90844</v>
      </c>
      <c r="AC19" s="42">
        <v>118792</v>
      </c>
      <c r="AD19" s="42">
        <v>60127</v>
      </c>
      <c r="AE19" s="42">
        <f t="shared" si="10"/>
        <v>27948</v>
      </c>
      <c r="AF19" s="42">
        <f t="shared" si="2"/>
        <v>-30717</v>
      </c>
      <c r="AG19" s="45">
        <v>96705</v>
      </c>
      <c r="AH19" s="42">
        <v>133284</v>
      </c>
      <c r="AI19" s="42">
        <v>57356</v>
      </c>
      <c r="AJ19" s="42">
        <f t="shared" si="11"/>
        <v>36579</v>
      </c>
      <c r="AK19" s="42">
        <f t="shared" si="3"/>
        <v>-39349</v>
      </c>
      <c r="AM19" s="50">
        <f t="shared" si="15"/>
        <v>35435</v>
      </c>
      <c r="AN19" s="51">
        <f t="shared" si="16"/>
        <v>1.1997223726977249</v>
      </c>
      <c r="AO19" s="52">
        <f t="shared" si="17"/>
        <v>1.9413629774857943E-2</v>
      </c>
      <c r="AQ19" s="50">
        <f t="shared" si="12"/>
        <v>31734</v>
      </c>
      <c r="AR19" s="51">
        <f t="shared" si="13"/>
        <v>0.4884333010112204</v>
      </c>
      <c r="AS19" s="52">
        <f t="shared" si="14"/>
        <v>1.38091006895813E-2</v>
      </c>
    </row>
    <row r="20" spans="1:45" s="43" customFormat="1" x14ac:dyDescent="0.25">
      <c r="A20" s="40" t="s">
        <v>30</v>
      </c>
      <c r="B20" s="41">
        <f t="shared" ref="B20:J20" si="18">SUM(B5:B19)</f>
        <v>1571547</v>
      </c>
      <c r="C20" s="41">
        <f t="shared" si="18"/>
        <v>1719508</v>
      </c>
      <c r="D20" s="41">
        <f t="shared" si="18"/>
        <v>1950805</v>
      </c>
      <c r="E20" s="41">
        <f t="shared" si="18"/>
        <v>2186769</v>
      </c>
      <c r="F20" s="41">
        <f t="shared" si="18"/>
        <v>2421159</v>
      </c>
      <c r="G20" s="41">
        <f t="shared" si="18"/>
        <v>2431037</v>
      </c>
      <c r="H20" s="41">
        <f t="shared" si="18"/>
        <v>2555315</v>
      </c>
      <c r="I20" s="42">
        <f t="shared" si="18"/>
        <v>2597188</v>
      </c>
      <c r="J20" s="42">
        <f t="shared" si="18"/>
        <v>2445231</v>
      </c>
      <c r="K20" s="42">
        <f t="shared" si="4"/>
        <v>41873</v>
      </c>
      <c r="L20" s="42">
        <f t="shared" si="5"/>
        <v>-110084</v>
      </c>
      <c r="M20" s="41">
        <f>SUM(M5:M19)</f>
        <v>2676926</v>
      </c>
      <c r="N20" s="42">
        <f>SUM(N5:N19)</f>
        <v>2816613</v>
      </c>
      <c r="O20" s="42">
        <f>SUM(O5:O19)</f>
        <v>2428110</v>
      </c>
      <c r="P20" s="42">
        <f t="shared" ref="P20" si="19">N20-$M20</f>
        <v>139687</v>
      </c>
      <c r="Q20" s="42">
        <f t="shared" ref="Q20" si="20">O20-$M20</f>
        <v>-248816</v>
      </c>
      <c r="R20" s="41">
        <f>SUM(R5:R19)</f>
        <v>2827180</v>
      </c>
      <c r="S20" s="42">
        <f>SUM(S5:S19)</f>
        <v>3068141</v>
      </c>
      <c r="T20" s="42">
        <f>SUM(T5:T19)</f>
        <v>2378893</v>
      </c>
      <c r="U20" s="42">
        <f t="shared" ref="U20" si="21">S20-$R20</f>
        <v>240961</v>
      </c>
      <c r="V20" s="42">
        <f t="shared" ref="V20" si="22">T20-$R20</f>
        <v>-448287</v>
      </c>
      <c r="W20" s="41">
        <f>SUM(W5:W19)</f>
        <v>2944699</v>
      </c>
      <c r="X20" s="42">
        <f>SUM(X5:X19)</f>
        <v>3345949</v>
      </c>
      <c r="Y20" s="42">
        <f>SUM(Y5:Y19)</f>
        <v>2303397</v>
      </c>
      <c r="Z20" s="42">
        <f t="shared" ref="Z20" si="23">X20-$W20</f>
        <v>401250</v>
      </c>
      <c r="AA20" s="42">
        <f t="shared" ref="AA20" si="24">Y20-$W20</f>
        <v>-641302</v>
      </c>
      <c r="AB20" s="41">
        <f>SUM(AB5:AB19)</f>
        <v>3045854</v>
      </c>
      <c r="AC20" s="42">
        <f>SUM(AC5:AC19)</f>
        <v>3646586</v>
      </c>
      <c r="AD20" s="42">
        <f>SUM(AD5:AD19)</f>
        <v>2205068</v>
      </c>
      <c r="AE20" s="42">
        <f t="shared" ref="AE20" si="25">AC20-$AB20</f>
        <v>600732</v>
      </c>
      <c r="AF20" s="42">
        <f t="shared" ref="AF20" si="26">AD20-$AB20</f>
        <v>-840786</v>
      </c>
      <c r="AG20" s="41">
        <f>SUM(AG5:AG19)</f>
        <v>3147011</v>
      </c>
      <c r="AH20" s="42">
        <f>SUM(AH5:AH19)</f>
        <v>3967683</v>
      </c>
      <c r="AI20" s="42">
        <f>SUM(AI5:AI19)</f>
        <v>2086279</v>
      </c>
      <c r="AJ20" s="42">
        <f t="shared" ref="AJ20" si="27">AH20-$AG20</f>
        <v>820672</v>
      </c>
      <c r="AK20" s="42">
        <f t="shared" ref="AK20" si="28">AI20-$AG20</f>
        <v>-1060732</v>
      </c>
      <c r="AM20" s="50">
        <f t="shared" si="15"/>
        <v>859490</v>
      </c>
      <c r="AN20" s="51">
        <f t="shared" si="16"/>
        <v>0.5469069649205528</v>
      </c>
      <c r="AO20" s="52">
        <f t="shared" si="17"/>
        <v>1.0697235781552017E-2</v>
      </c>
      <c r="AQ20" s="50">
        <f t="shared" si="12"/>
        <v>715974</v>
      </c>
      <c r="AR20" s="51">
        <f t="shared" si="13"/>
        <v>0.29451382270199916</v>
      </c>
      <c r="AS20" s="52">
        <f t="shared" si="14"/>
        <v>8.94094733810058E-3</v>
      </c>
    </row>
    <row r="21" spans="1:45" x14ac:dyDescent="0.25">
      <c r="A21" s="39"/>
      <c r="C21" s="1"/>
      <c r="D21" s="1"/>
      <c r="E21" s="1"/>
      <c r="G21" s="1"/>
      <c r="O21" s="1"/>
      <c r="S21" s="1"/>
      <c r="W21" s="1"/>
    </row>
    <row r="22" spans="1:45" x14ac:dyDescent="0.25">
      <c r="A22" s="13">
        <v>1</v>
      </c>
      <c r="B22" s="13" t="s">
        <v>38</v>
      </c>
    </row>
    <row r="23" spans="1:45" x14ac:dyDescent="0.25">
      <c r="A23" s="13">
        <v>2</v>
      </c>
      <c r="B23" s="13" t="s">
        <v>37</v>
      </c>
    </row>
    <row r="24" spans="1:45" x14ac:dyDescent="0.25">
      <c r="A24" s="13">
        <v>3</v>
      </c>
      <c r="B24" s="13" t="s">
        <v>45</v>
      </c>
    </row>
    <row r="25" spans="1:45" x14ac:dyDescent="0.25">
      <c r="A25" s="13">
        <v>4</v>
      </c>
      <c r="B25" s="13" t="s">
        <v>46</v>
      </c>
    </row>
    <row r="26" spans="1:45" x14ac:dyDescent="0.25">
      <c r="A26" s="13">
        <v>5</v>
      </c>
      <c r="B26" s="13" t="s">
        <v>51</v>
      </c>
    </row>
    <row r="28" spans="1:45" x14ac:dyDescent="0.25">
      <c r="B28" s="28" t="s">
        <v>47</v>
      </c>
    </row>
  </sheetData>
  <mergeCells count="12">
    <mergeCell ref="D1:W1"/>
    <mergeCell ref="H3:L3"/>
    <mergeCell ref="M3:Q3"/>
    <mergeCell ref="R3:V3"/>
    <mergeCell ref="W3:AA3"/>
    <mergeCell ref="A2:W2"/>
    <mergeCell ref="AM2:AO2"/>
    <mergeCell ref="AM3:AO3"/>
    <mergeCell ref="AQ2:AS2"/>
    <mergeCell ref="AQ3:AS3"/>
    <mergeCell ref="AB3:AF3"/>
    <mergeCell ref="AG3:AK3"/>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B98E4-183F-462A-B16A-057CFFC166E1}">
  <dimension ref="A1:R46"/>
  <sheetViews>
    <sheetView workbookViewId="0">
      <selection activeCell="H20" sqref="H20"/>
    </sheetView>
  </sheetViews>
  <sheetFormatPr defaultRowHeight="15" x14ac:dyDescent="0.25"/>
  <cols>
    <col min="1" max="1" width="20.140625" customWidth="1"/>
    <col min="2" max="2" width="10.7109375" customWidth="1"/>
    <col min="3" max="3" width="11.28515625" bestFit="1" customWidth="1"/>
    <col min="4" max="4" width="11.140625" customWidth="1"/>
    <col min="5" max="5" width="11.28515625" bestFit="1" customWidth="1"/>
    <col min="6" max="6" width="10.7109375" customWidth="1"/>
    <col min="7" max="7" width="11.28515625" customWidth="1"/>
    <col min="8" max="8" width="10.28515625" customWidth="1"/>
    <col min="9" max="9" width="11.28515625" customWidth="1"/>
    <col min="10" max="10" width="2.28515625" customWidth="1"/>
    <col min="11" max="11" width="11.28515625" bestFit="1" customWidth="1"/>
    <col min="12" max="12" width="10.42578125" customWidth="1"/>
    <col min="13" max="13" width="11.28515625" bestFit="1" customWidth="1"/>
    <col min="14" max="14" width="10.85546875" customWidth="1"/>
    <col min="15" max="15" width="11.28515625" bestFit="1" customWidth="1"/>
    <col min="16" max="16" width="10.85546875" customWidth="1"/>
    <col min="17" max="17" width="11.28515625" bestFit="1" customWidth="1"/>
  </cols>
  <sheetData>
    <row r="1" spans="1:18" ht="65.25" customHeight="1" x14ac:dyDescent="0.3">
      <c r="C1" s="59" t="s">
        <v>26</v>
      </c>
      <c r="D1" s="59"/>
      <c r="E1" s="59"/>
      <c r="F1" s="59"/>
      <c r="G1" s="59"/>
      <c r="H1" s="59"/>
      <c r="I1" s="59"/>
      <c r="J1" s="59"/>
      <c r="K1" s="59"/>
      <c r="L1" s="59"/>
      <c r="M1" s="59"/>
      <c r="N1" s="59"/>
      <c r="O1" s="59"/>
      <c r="P1" s="59"/>
      <c r="Q1" s="59"/>
      <c r="R1" s="59"/>
    </row>
    <row r="2" spans="1:18" s="7" customFormat="1" ht="26.25" customHeight="1" x14ac:dyDescent="0.25">
      <c r="A2" s="60" t="s">
        <v>1</v>
      </c>
      <c r="B2" s="60"/>
      <c r="C2" s="60"/>
      <c r="D2" s="60"/>
      <c r="E2" s="60"/>
      <c r="F2" s="60"/>
      <c r="G2" s="60"/>
      <c r="H2" s="60"/>
      <c r="I2" s="60"/>
      <c r="J2" s="60"/>
      <c r="K2" s="60"/>
      <c r="L2" s="60"/>
      <c r="M2" s="60"/>
      <c r="N2" s="60"/>
      <c r="O2" s="60"/>
      <c r="P2" s="60"/>
      <c r="Q2" s="60"/>
      <c r="R2" s="60"/>
    </row>
    <row r="3" spans="1:18" s="7" customFormat="1" ht="15.75" customHeight="1" x14ac:dyDescent="0.25">
      <c r="A3" s="8"/>
      <c r="B3" s="11" t="s">
        <v>21</v>
      </c>
      <c r="C3" s="61" t="s">
        <v>22</v>
      </c>
      <c r="D3" s="61"/>
      <c r="E3" s="61"/>
      <c r="F3" s="61"/>
      <c r="G3" s="61"/>
      <c r="H3" s="61"/>
      <c r="I3" s="29"/>
      <c r="J3" s="8"/>
      <c r="L3" s="61" t="s">
        <v>27</v>
      </c>
      <c r="M3" s="61"/>
      <c r="N3" s="61"/>
      <c r="O3" s="61"/>
      <c r="P3" s="61"/>
      <c r="Q3" s="61"/>
      <c r="R3" s="61"/>
    </row>
    <row r="4" spans="1:18" x14ac:dyDescent="0.25">
      <c r="A4" s="27" t="s">
        <v>0</v>
      </c>
      <c r="B4" s="2">
        <v>2020</v>
      </c>
      <c r="C4" s="2">
        <v>2025</v>
      </c>
      <c r="D4" s="2">
        <v>2030</v>
      </c>
      <c r="E4" s="2">
        <v>2035</v>
      </c>
      <c r="F4" s="2">
        <v>2040</v>
      </c>
      <c r="G4" s="2">
        <v>2045</v>
      </c>
      <c r="H4" s="2">
        <v>2050</v>
      </c>
      <c r="K4" s="2"/>
      <c r="L4" s="2">
        <v>2020</v>
      </c>
      <c r="M4" s="2">
        <v>2025</v>
      </c>
      <c r="N4" s="2">
        <v>2030</v>
      </c>
      <c r="O4" s="2">
        <v>2035</v>
      </c>
      <c r="P4" s="2">
        <v>2040</v>
      </c>
      <c r="Q4" s="2">
        <v>2045</v>
      </c>
      <c r="R4" s="2">
        <v>2050</v>
      </c>
    </row>
    <row r="5" spans="1:18" s="10" customFormat="1" x14ac:dyDescent="0.25">
      <c r="A5" s="15" t="s">
        <v>3</v>
      </c>
      <c r="B5" s="30">
        <v>74757.394366197186</v>
      </c>
      <c r="C5" s="30">
        <v>85864.788732394372</v>
      </c>
      <c r="D5" s="30">
        <v>96455.985915492958</v>
      </c>
      <c r="E5" s="30">
        <v>108058.80281690141</v>
      </c>
      <c r="F5" s="30">
        <v>118505.63380281691</v>
      </c>
      <c r="G5" s="30">
        <v>128374.29577464789</v>
      </c>
      <c r="H5" s="30">
        <v>138242.95774647887</v>
      </c>
      <c r="J5" s="16"/>
      <c r="K5" s="23"/>
      <c r="L5" s="23" t="e">
        <f>#REF!/'Households and Housing Units'!B5</f>
        <v>#REF!</v>
      </c>
      <c r="M5" s="23" t="e">
        <f>#REF!/'Households and Housing Units'!C5</f>
        <v>#REF!</v>
      </c>
      <c r="N5" s="23" t="e">
        <f>#REF!/'Households and Housing Units'!D5</f>
        <v>#REF!</v>
      </c>
      <c r="O5" s="23" t="e">
        <f>#REF!/'Households and Housing Units'!E5</f>
        <v>#REF!</v>
      </c>
      <c r="P5" s="23" t="e">
        <f>#REF!/'Households and Housing Units'!F5</f>
        <v>#REF!</v>
      </c>
      <c r="Q5" s="23" t="e">
        <f>#REF!/'Households and Housing Units'!G5</f>
        <v>#REF!</v>
      </c>
      <c r="R5" s="23" t="e">
        <f>#REF!/'Households and Housing Units'!H5</f>
        <v>#REF!</v>
      </c>
    </row>
    <row r="6" spans="1:18" s="10" customFormat="1" x14ac:dyDescent="0.25">
      <c r="A6" s="15" t="s">
        <v>4</v>
      </c>
      <c r="B6" s="30">
        <v>58303.358208955222</v>
      </c>
      <c r="C6" s="30">
        <v>61898.507462686561</v>
      </c>
      <c r="D6" s="30">
        <v>65288.805970149253</v>
      </c>
      <c r="E6" s="30">
        <v>69083.208955223876</v>
      </c>
      <c r="F6" s="30">
        <v>72415.298507462678</v>
      </c>
      <c r="G6" s="30">
        <v>75516.417910447752</v>
      </c>
      <c r="H6" s="30">
        <v>78617.537313432826</v>
      </c>
      <c r="J6" s="16"/>
      <c r="K6" s="23"/>
      <c r="L6" s="23" t="e">
        <f>#REF!/'Households and Housing Units'!B6</f>
        <v>#REF!</v>
      </c>
      <c r="M6" s="23" t="e">
        <f>#REF!/'Households and Housing Units'!C6</f>
        <v>#REF!</v>
      </c>
      <c r="N6" s="23" t="e">
        <f>#REF!/'Households and Housing Units'!D6</f>
        <v>#REF!</v>
      </c>
      <c r="O6" s="23" t="e">
        <f>#REF!/'Households and Housing Units'!E6</f>
        <v>#REF!</v>
      </c>
      <c r="P6" s="23" t="e">
        <f>#REF!/'Households and Housing Units'!F6</f>
        <v>#REF!</v>
      </c>
      <c r="Q6" s="23" t="e">
        <f>#REF!/'Households and Housing Units'!G6</f>
        <v>#REF!</v>
      </c>
      <c r="R6" s="23" t="e">
        <f>#REF!/'Households and Housing Units'!H6</f>
        <v>#REF!</v>
      </c>
    </row>
    <row r="7" spans="1:18" x14ac:dyDescent="0.25">
      <c r="A7" s="15" t="s">
        <v>12</v>
      </c>
      <c r="B7" s="30">
        <v>11875.103734439834</v>
      </c>
      <c r="C7" s="30">
        <v>12071.784232365144</v>
      </c>
      <c r="D7" s="30">
        <v>12314.937759336099</v>
      </c>
      <c r="E7" s="30">
        <v>12570.539419087136</v>
      </c>
      <c r="F7" s="30">
        <v>12811.203319502074</v>
      </c>
      <c r="G7" s="30">
        <v>13044.813278008298</v>
      </c>
      <c r="H7" s="30">
        <v>13278.838174273858</v>
      </c>
      <c r="J7" s="16"/>
      <c r="K7" s="23"/>
      <c r="L7" s="23" t="e">
        <f>#REF!/'Households and Housing Units'!B7</f>
        <v>#REF!</v>
      </c>
      <c r="M7" s="23" t="e">
        <f>#REF!/'Households and Housing Units'!C7</f>
        <v>#REF!</v>
      </c>
      <c r="N7" s="23" t="e">
        <f>#REF!/'Households and Housing Units'!D7</f>
        <v>#REF!</v>
      </c>
      <c r="O7" s="23" t="e">
        <f>#REF!/'Households and Housing Units'!E7</f>
        <v>#REF!</v>
      </c>
      <c r="P7" s="23" t="e">
        <f>#REF!/'Households and Housing Units'!F7</f>
        <v>#REF!</v>
      </c>
      <c r="Q7" s="23" t="e">
        <f>#REF!/'Households and Housing Units'!G7</f>
        <v>#REF!</v>
      </c>
      <c r="R7" s="23" t="e">
        <f>#REF!/'Households and Housing Units'!H7</f>
        <v>#REF!</v>
      </c>
    </row>
    <row r="8" spans="1:18" s="10" customFormat="1" x14ac:dyDescent="0.25">
      <c r="A8" s="15" t="s">
        <v>5</v>
      </c>
      <c r="B8" s="30">
        <v>526242.27642276429</v>
      </c>
      <c r="C8" s="30">
        <v>552519.91869918699</v>
      </c>
      <c r="D8" s="30">
        <v>575160.56910569104</v>
      </c>
      <c r="E8" s="30">
        <v>604077.23577235779</v>
      </c>
      <c r="F8" s="30">
        <v>625821.13821138209</v>
      </c>
      <c r="G8" s="30">
        <v>643977.64227642282</v>
      </c>
      <c r="H8" s="30">
        <v>662134.14634146343</v>
      </c>
      <c r="J8" s="16"/>
      <c r="K8" s="23"/>
      <c r="L8" s="23" t="e">
        <f>#REF!/'Households and Housing Units'!B8</f>
        <v>#REF!</v>
      </c>
      <c r="M8" s="23" t="e">
        <f>#REF!/'Households and Housing Units'!C8</f>
        <v>#REF!</v>
      </c>
      <c r="N8" s="23" t="e">
        <f>#REF!/'Households and Housing Units'!D8</f>
        <v>#REF!</v>
      </c>
      <c r="O8" s="23" t="e">
        <f>#REF!/'Households and Housing Units'!E8</f>
        <v>#REF!</v>
      </c>
      <c r="P8" s="23" t="e">
        <f>#REF!/'Households and Housing Units'!F8</f>
        <v>#REF!</v>
      </c>
      <c r="Q8" s="23" t="e">
        <f>#REF!/'Households and Housing Units'!G8</f>
        <v>#REF!</v>
      </c>
      <c r="R8" s="23" t="e">
        <f>#REF!/'Households and Housing Units'!H8</f>
        <v>#REF!</v>
      </c>
    </row>
    <row r="9" spans="1:18" x14ac:dyDescent="0.25">
      <c r="A9" s="15" t="s">
        <v>13</v>
      </c>
      <c r="B9" s="30">
        <v>11423.236514522821</v>
      </c>
      <c r="C9" s="30">
        <v>11409.543568464729</v>
      </c>
      <c r="D9" s="30">
        <v>11326.556016597509</v>
      </c>
      <c r="E9" s="30">
        <v>11272.199170124481</v>
      </c>
      <c r="F9" s="30">
        <v>11190.456431535269</v>
      </c>
      <c r="G9" s="30">
        <v>11093.360995850622</v>
      </c>
      <c r="H9" s="30">
        <v>10996.68049792531</v>
      </c>
      <c r="J9" s="16"/>
      <c r="K9" s="23"/>
      <c r="L9" s="23" t="e">
        <f>#REF!/'Households and Housing Units'!B9</f>
        <v>#REF!</v>
      </c>
      <c r="M9" s="23" t="e">
        <f>#REF!/'Households and Housing Units'!C9</f>
        <v>#REF!</v>
      </c>
      <c r="N9" s="23" t="e">
        <f>#REF!/'Households and Housing Units'!D9</f>
        <v>#REF!</v>
      </c>
      <c r="O9" s="23" t="e">
        <f>#REF!/'Households and Housing Units'!E9</f>
        <v>#REF!</v>
      </c>
      <c r="P9" s="23" t="e">
        <f>#REF!/'Households and Housing Units'!F9</f>
        <v>#REF!</v>
      </c>
      <c r="Q9" s="23" t="e">
        <f>#REF!/'Households and Housing Units'!G9</f>
        <v>#REF!</v>
      </c>
      <c r="R9" s="23" t="e">
        <f>#REF!/'Households and Housing Units'!H9</f>
        <v>#REF!</v>
      </c>
    </row>
    <row r="10" spans="1:18" x14ac:dyDescent="0.25">
      <c r="A10" s="15" t="s">
        <v>14</v>
      </c>
      <c r="B10" s="30">
        <v>23410.317460317459</v>
      </c>
      <c r="C10" s="30">
        <v>23929.365079365078</v>
      </c>
      <c r="D10" s="30">
        <v>24370.238095238095</v>
      </c>
      <c r="E10" s="30">
        <v>24994.841269841269</v>
      </c>
      <c r="F10" s="30">
        <v>25409.523809523809</v>
      </c>
      <c r="G10" s="30">
        <v>25719.841269841269</v>
      </c>
      <c r="H10" s="30">
        <v>26030.555555555555</v>
      </c>
      <c r="J10" s="16"/>
      <c r="K10" s="23"/>
      <c r="L10" s="23" t="e">
        <f>#REF!/'Households and Housing Units'!B10</f>
        <v>#REF!</v>
      </c>
      <c r="M10" s="23" t="e">
        <f>#REF!/'Households and Housing Units'!C10</f>
        <v>#REF!</v>
      </c>
      <c r="N10" s="23" t="e">
        <f>#REF!/'Households and Housing Units'!D10</f>
        <v>#REF!</v>
      </c>
      <c r="O10" s="23" t="e">
        <f>#REF!/'Households and Housing Units'!E10</f>
        <v>#REF!</v>
      </c>
      <c r="P10" s="23" t="e">
        <f>#REF!/'Households and Housing Units'!F10</f>
        <v>#REF!</v>
      </c>
      <c r="Q10" s="23" t="e">
        <f>#REF!/'Households and Housing Units'!G10</f>
        <v>#REF!</v>
      </c>
      <c r="R10" s="23" t="e">
        <f>#REF!/'Households and Housing Units'!H10</f>
        <v>#REF!</v>
      </c>
    </row>
    <row r="11" spans="1:18" s="10" customFormat="1" x14ac:dyDescent="0.25">
      <c r="A11" s="15" t="s">
        <v>6</v>
      </c>
      <c r="B11" s="30">
        <v>65657.518796992474</v>
      </c>
      <c r="C11" s="30">
        <v>70153.383458646611</v>
      </c>
      <c r="D11" s="30">
        <v>73752.631578947359</v>
      </c>
      <c r="E11" s="30">
        <v>79724.436090225558</v>
      </c>
      <c r="F11" s="30">
        <v>82984.210526315786</v>
      </c>
      <c r="G11" s="30">
        <v>84889.097744360901</v>
      </c>
      <c r="H11" s="30">
        <v>86794.360902255634</v>
      </c>
      <c r="J11" s="16"/>
      <c r="K11" s="23"/>
      <c r="L11" s="23" t="e">
        <f>#REF!/'Households and Housing Units'!B11</f>
        <v>#REF!</v>
      </c>
      <c r="M11" s="23" t="e">
        <f>#REF!/'Households and Housing Units'!C11</f>
        <v>#REF!</v>
      </c>
      <c r="N11" s="23" t="e">
        <f>#REF!/'Households and Housing Units'!D11</f>
        <v>#REF!</v>
      </c>
      <c r="O11" s="23" t="e">
        <f>#REF!/'Households and Housing Units'!E11</f>
        <v>#REF!</v>
      </c>
      <c r="P11" s="23" t="e">
        <f>#REF!/'Households and Housing Units'!F11</f>
        <v>#REF!</v>
      </c>
      <c r="Q11" s="23" t="e">
        <f>#REF!/'Households and Housing Units'!G11</f>
        <v>#REF!</v>
      </c>
      <c r="R11" s="23" t="e">
        <f>#REF!/'Households and Housing Units'!H11</f>
        <v>#REF!</v>
      </c>
    </row>
    <row r="12" spans="1:18" x14ac:dyDescent="0.25">
      <c r="A12" s="15" t="s">
        <v>15</v>
      </c>
      <c r="B12" s="30">
        <v>18911.203319502074</v>
      </c>
      <c r="C12" s="30">
        <v>18923.651452282156</v>
      </c>
      <c r="D12" s="30">
        <v>19051.452282157676</v>
      </c>
      <c r="E12" s="30">
        <v>19197.925311203318</v>
      </c>
      <c r="F12" s="30">
        <v>19318.672199170123</v>
      </c>
      <c r="G12" s="30">
        <v>19432.365145228214</v>
      </c>
      <c r="H12" s="30">
        <v>19546.058091286304</v>
      </c>
      <c r="J12" s="16"/>
      <c r="K12" s="23"/>
      <c r="L12" s="23" t="e">
        <f>#REF!/'Households and Housing Units'!B12</f>
        <v>#REF!</v>
      </c>
      <c r="M12" s="23" t="e">
        <f>#REF!/'Households and Housing Units'!C12</f>
        <v>#REF!</v>
      </c>
      <c r="N12" s="23" t="e">
        <f>#REF!/'Households and Housing Units'!D12</f>
        <v>#REF!</v>
      </c>
      <c r="O12" s="23" t="e">
        <f>#REF!/'Households and Housing Units'!E12</f>
        <v>#REF!</v>
      </c>
      <c r="P12" s="23" t="e">
        <f>#REF!/'Households and Housing Units'!F12</f>
        <v>#REF!</v>
      </c>
      <c r="Q12" s="23" t="e">
        <f>#REF!/'Households and Housing Units'!G12</f>
        <v>#REF!</v>
      </c>
      <c r="R12" s="23" t="e">
        <f>#REF!/'Households and Housing Units'!H12</f>
        <v>#REF!</v>
      </c>
    </row>
    <row r="13" spans="1:18" s="10" customFormat="1" x14ac:dyDescent="0.25">
      <c r="A13" s="15" t="s">
        <v>7</v>
      </c>
      <c r="B13" s="30">
        <v>14843.846153846152</v>
      </c>
      <c r="C13" s="30">
        <v>15746.153846153846</v>
      </c>
      <c r="D13" s="30">
        <v>16540.76923076923</v>
      </c>
      <c r="E13" s="30">
        <v>17414.23076923077</v>
      </c>
      <c r="F13" s="30">
        <v>18198.076923076922</v>
      </c>
      <c r="G13" s="30">
        <v>18936.153846153844</v>
      </c>
      <c r="H13" s="30">
        <v>19674.23076923077</v>
      </c>
      <c r="J13" s="16"/>
      <c r="K13" s="23"/>
      <c r="L13" s="23" t="e">
        <f>#REF!/'Households and Housing Units'!B13</f>
        <v>#REF!</v>
      </c>
      <c r="M13" s="23" t="e">
        <f>#REF!/'Households and Housing Units'!C13</f>
        <v>#REF!</v>
      </c>
      <c r="N13" s="23" t="e">
        <f>#REF!/'Households and Housing Units'!D13</f>
        <v>#REF!</v>
      </c>
      <c r="O13" s="23" t="e">
        <f>#REF!/'Households and Housing Units'!E13</f>
        <v>#REF!</v>
      </c>
      <c r="P13" s="23" t="e">
        <f>#REF!/'Households and Housing Units'!F13</f>
        <v>#REF!</v>
      </c>
      <c r="Q13" s="23" t="e">
        <f>#REF!/'Households and Housing Units'!G13</f>
        <v>#REF!</v>
      </c>
      <c r="R13" s="23" t="e">
        <f>#REF!/'Households and Housing Units'!H13</f>
        <v>#REF!</v>
      </c>
    </row>
    <row r="14" spans="1:18" x14ac:dyDescent="0.25">
      <c r="A14" s="15" t="s">
        <v>16</v>
      </c>
      <c r="B14" s="30">
        <v>24667.355371900827</v>
      </c>
      <c r="C14" s="30">
        <v>24649.173553719011</v>
      </c>
      <c r="D14" s="30">
        <v>24590.909090909092</v>
      </c>
      <c r="E14" s="30">
        <v>24623.14049586777</v>
      </c>
      <c r="F14" s="30">
        <v>24552.892561983474</v>
      </c>
      <c r="G14" s="30">
        <v>24429.338842975209</v>
      </c>
      <c r="H14" s="30">
        <v>24305.785123966944</v>
      </c>
      <c r="J14" s="16"/>
      <c r="K14" s="23"/>
      <c r="L14" s="23" t="e">
        <f>#REF!/'Households and Housing Units'!B14</f>
        <v>#REF!</v>
      </c>
      <c r="M14" s="23" t="e">
        <f>#REF!/'Households and Housing Units'!C14</f>
        <v>#REF!</v>
      </c>
      <c r="N14" s="23" t="e">
        <f>#REF!/'Households and Housing Units'!D14</f>
        <v>#REF!</v>
      </c>
      <c r="O14" s="23" t="e">
        <f>#REF!/'Households and Housing Units'!E14</f>
        <v>#REF!</v>
      </c>
      <c r="P14" s="23" t="e">
        <f>#REF!/'Households and Housing Units'!F14</f>
        <v>#REF!</v>
      </c>
      <c r="Q14" s="23" t="e">
        <f>#REF!/'Households and Housing Units'!G14</f>
        <v>#REF!</v>
      </c>
      <c r="R14" s="23" t="e">
        <f>#REF!/'Households and Housing Units'!H14</f>
        <v>#REF!</v>
      </c>
    </row>
    <row r="15" spans="1:18" x14ac:dyDescent="0.25">
      <c r="A15" s="15" t="s">
        <v>17</v>
      </c>
      <c r="B15" s="30">
        <v>12992.134831460675</v>
      </c>
      <c r="C15" s="30">
        <v>13535.205992509364</v>
      </c>
      <c r="D15" s="30">
        <v>13996.254681647941</v>
      </c>
      <c r="E15" s="30">
        <v>14617.602996254682</v>
      </c>
      <c r="F15" s="30">
        <v>15056.1797752809</v>
      </c>
      <c r="G15" s="30">
        <v>15403.745318352061</v>
      </c>
      <c r="H15" s="30">
        <v>15751.310861423221</v>
      </c>
      <c r="J15" s="16"/>
      <c r="K15" s="23"/>
      <c r="L15" s="23" t="e">
        <f>#REF!/'Households and Housing Units'!B15</f>
        <v>#REF!</v>
      </c>
      <c r="M15" s="23" t="e">
        <f>#REF!/'Households and Housing Units'!C15</f>
        <v>#REF!</v>
      </c>
      <c r="N15" s="23" t="e">
        <f>#REF!/'Households and Housing Units'!D15</f>
        <v>#REF!</v>
      </c>
      <c r="O15" s="23" t="e">
        <f>#REF!/'Households and Housing Units'!E15</f>
        <v>#REF!</v>
      </c>
      <c r="P15" s="23" t="e">
        <f>#REF!/'Households and Housing Units'!F15</f>
        <v>#REF!</v>
      </c>
      <c r="Q15" s="23" t="e">
        <f>#REF!/'Households and Housing Units'!G15</f>
        <v>#REF!</v>
      </c>
      <c r="R15" s="23" t="e">
        <f>#REF!/'Households and Housing Units'!H15</f>
        <v>#REF!</v>
      </c>
    </row>
    <row r="16" spans="1:18" x14ac:dyDescent="0.25">
      <c r="A16" s="15" t="s">
        <v>18</v>
      </c>
      <c r="B16" s="30">
        <v>13000</v>
      </c>
      <c r="C16" s="30">
        <v>13521.111111111109</v>
      </c>
      <c r="D16" s="30">
        <v>13724.814814814814</v>
      </c>
      <c r="E16" s="30">
        <v>13987.407407407407</v>
      </c>
      <c r="F16" s="30">
        <v>14182.222222222221</v>
      </c>
      <c r="G16" s="30">
        <v>14343.703703703703</v>
      </c>
      <c r="H16" s="30">
        <v>14505.185185185184</v>
      </c>
      <c r="J16" s="16"/>
      <c r="K16" s="23"/>
      <c r="L16" s="23" t="e">
        <f>#REF!/'Households and Housing Units'!B16</f>
        <v>#REF!</v>
      </c>
      <c r="M16" s="23" t="e">
        <f>#REF!/'Households and Housing Units'!C16</f>
        <v>#REF!</v>
      </c>
      <c r="N16" s="23" t="e">
        <f>#REF!/'Households and Housing Units'!D16</f>
        <v>#REF!</v>
      </c>
      <c r="O16" s="23" t="e">
        <f>#REF!/'Households and Housing Units'!E16</f>
        <v>#REF!</v>
      </c>
      <c r="P16" s="23" t="e">
        <f>#REF!/'Households and Housing Units'!F16</f>
        <v>#REF!</v>
      </c>
      <c r="Q16" s="23" t="e">
        <f>#REF!/'Households and Housing Units'!G16</f>
        <v>#REF!</v>
      </c>
      <c r="R16" s="23" t="e">
        <f>#REF!/'Households and Housing Units'!H16</f>
        <v>#REF!</v>
      </c>
    </row>
    <row r="17" spans="1:18" s="10" customFormat="1" x14ac:dyDescent="0.25">
      <c r="A17" s="15" t="s">
        <v>8</v>
      </c>
      <c r="B17" s="30">
        <v>19996.296296296296</v>
      </c>
      <c r="C17" s="30">
        <v>21267.777777777777</v>
      </c>
      <c r="D17" s="30">
        <v>22473.703703703701</v>
      </c>
      <c r="E17" s="30">
        <v>23778.148148148146</v>
      </c>
      <c r="F17" s="30">
        <v>24970.740740740741</v>
      </c>
      <c r="G17" s="30">
        <v>26107.407407407405</v>
      </c>
      <c r="H17" s="30">
        <v>27244.074074074073</v>
      </c>
      <c r="J17" s="16"/>
      <c r="K17" s="23"/>
      <c r="L17" s="23" t="e">
        <f>#REF!/'Households and Housing Units'!B17</f>
        <v>#REF!</v>
      </c>
      <c r="M17" s="23" t="e">
        <f>#REF!/'Households and Housing Units'!C17</f>
        <v>#REF!</v>
      </c>
      <c r="N17" s="23" t="e">
        <f>#REF!/'Households and Housing Units'!D17</f>
        <v>#REF!</v>
      </c>
      <c r="O17" s="23" t="e">
        <f>#REF!/'Households and Housing Units'!E17</f>
        <v>#REF!</v>
      </c>
      <c r="P17" s="23" t="e">
        <f>#REF!/'Households and Housing Units'!F17</f>
        <v>#REF!</v>
      </c>
      <c r="Q17" s="23" t="e">
        <f>#REF!/'Households and Housing Units'!G17</f>
        <v>#REF!</v>
      </c>
      <c r="R17" s="23" t="e">
        <f>#REF!/'Households and Housing Units'!H17</f>
        <v>#REF!</v>
      </c>
    </row>
    <row r="18" spans="1:18" x14ac:dyDescent="0.25">
      <c r="A18" s="15" t="s">
        <v>19</v>
      </c>
      <c r="B18" s="30">
        <v>29150.409836065573</v>
      </c>
      <c r="C18" s="30">
        <v>29000.819672131147</v>
      </c>
      <c r="D18" s="30">
        <v>28854.508196721312</v>
      </c>
      <c r="E18" s="30">
        <v>28730.327868852459</v>
      </c>
      <c r="F18" s="30">
        <v>28579.918032786885</v>
      </c>
      <c r="G18" s="30">
        <v>28413.934426229509</v>
      </c>
      <c r="H18" s="30">
        <v>28247.950819672133</v>
      </c>
      <c r="J18" s="18"/>
      <c r="K18" s="23"/>
      <c r="L18" s="23" t="e">
        <f>#REF!/'Households and Housing Units'!B18</f>
        <v>#REF!</v>
      </c>
      <c r="M18" s="23" t="e">
        <f>#REF!/'Households and Housing Units'!C18</f>
        <v>#REF!</v>
      </c>
      <c r="N18" s="23" t="e">
        <f>#REF!/'Households and Housing Units'!D18</f>
        <v>#REF!</v>
      </c>
      <c r="O18" s="23" t="e">
        <f>#REF!/'Households and Housing Units'!E18</f>
        <v>#REF!</v>
      </c>
      <c r="P18" s="23" t="e">
        <f>#REF!/'Households and Housing Units'!F18</f>
        <v>#REF!</v>
      </c>
      <c r="Q18" s="23" t="e">
        <f>#REF!/'Households and Housing Units'!G18</f>
        <v>#REF!</v>
      </c>
      <c r="R18" s="23" t="e">
        <f>#REF!/'Households and Housing Units'!H18</f>
        <v>#REF!</v>
      </c>
    </row>
    <row r="19" spans="1:18" s="10" customFormat="1" x14ac:dyDescent="0.25">
      <c r="A19" s="15" t="s">
        <v>9</v>
      </c>
      <c r="B19" s="30">
        <v>22547.348484848484</v>
      </c>
      <c r="C19" s="30">
        <v>23737.878787878788</v>
      </c>
      <c r="D19" s="30">
        <v>25917.42424242424</v>
      </c>
      <c r="E19" s="30">
        <v>28215.151515151512</v>
      </c>
      <c r="F19" s="30">
        <v>30377.651515151512</v>
      </c>
      <c r="G19" s="30">
        <v>32472.727272727272</v>
      </c>
      <c r="H19" s="30">
        <v>34567.803030303032</v>
      </c>
      <c r="J19" s="18"/>
      <c r="K19" s="31"/>
      <c r="L19" s="23" t="e">
        <f>#REF!/'Households and Housing Units'!B19</f>
        <v>#REF!</v>
      </c>
      <c r="M19" s="23" t="e">
        <f>#REF!/'Households and Housing Units'!C19</f>
        <v>#REF!</v>
      </c>
      <c r="N19" s="23" t="e">
        <f>#REF!/'Households and Housing Units'!D19</f>
        <v>#REF!</v>
      </c>
      <c r="O19" s="23" t="e">
        <f>#REF!/'Households and Housing Units'!E19</f>
        <v>#REF!</v>
      </c>
      <c r="P19" s="23" t="e">
        <f>#REF!/'Households and Housing Units'!F19</f>
        <v>#REF!</v>
      </c>
      <c r="Q19" s="23" t="e">
        <f>#REF!/'Households and Housing Units'!G19</f>
        <v>#REF!</v>
      </c>
      <c r="R19" s="23" t="e">
        <f>#REF!/'Households and Housing Units'!H19</f>
        <v>#REF!</v>
      </c>
    </row>
    <row r="20" spans="1:18" s="12" customFormat="1" x14ac:dyDescent="0.25">
      <c r="A20" s="19" t="s">
        <v>30</v>
      </c>
      <c r="B20" s="20">
        <f t="shared" ref="B20:H20" si="0">SUM(B5:B19)</f>
        <v>927777.79979810945</v>
      </c>
      <c r="C20" s="20">
        <f t="shared" si="0"/>
        <v>978229.0634266726</v>
      </c>
      <c r="D20" s="20">
        <f t="shared" si="0"/>
        <v>1023819.5606846005</v>
      </c>
      <c r="E20" s="20">
        <f t="shared" si="0"/>
        <v>1080345.1980058779</v>
      </c>
      <c r="F20" s="20">
        <f t="shared" si="0"/>
        <v>1124373.8185789513</v>
      </c>
      <c r="G20" s="20">
        <f t="shared" si="0"/>
        <v>1162154.8452123569</v>
      </c>
      <c r="H20" s="20">
        <f t="shared" si="0"/>
        <v>1199937.474486527</v>
      </c>
      <c r="J20" s="32"/>
      <c r="K20" s="33"/>
      <c r="L20" s="24" t="e">
        <f>#REF!/'Households and Housing Units'!B20</f>
        <v>#REF!</v>
      </c>
      <c r="M20" s="24" t="e">
        <f>#REF!/'Households and Housing Units'!C20</f>
        <v>#REF!</v>
      </c>
      <c r="N20" s="24" t="e">
        <f>#REF!/'Households and Housing Units'!D20</f>
        <v>#REF!</v>
      </c>
      <c r="O20" s="24" t="e">
        <f>#REF!/'Households and Housing Units'!E20</f>
        <v>#REF!</v>
      </c>
      <c r="P20" s="24" t="e">
        <f>#REF!/'Households and Housing Units'!F20</f>
        <v>#REF!</v>
      </c>
      <c r="Q20" s="24" t="e">
        <f>#REF!/'Households and Housing Units'!G20</f>
        <v>#REF!</v>
      </c>
      <c r="R20" s="24" t="e">
        <f>#REF!/'Households and Housing Units'!H20</f>
        <v>#REF!</v>
      </c>
    </row>
    <row r="22" spans="1:18" s="7" customFormat="1" ht="26.25" customHeight="1" x14ac:dyDescent="0.25">
      <c r="A22" s="60" t="s">
        <v>2</v>
      </c>
      <c r="B22" s="60"/>
      <c r="C22" s="60"/>
      <c r="D22" s="60"/>
      <c r="E22" s="60"/>
      <c r="F22" s="60"/>
      <c r="G22" s="60"/>
      <c r="H22" s="60"/>
      <c r="I22" s="60"/>
      <c r="J22" s="60"/>
      <c r="K22" s="60"/>
      <c r="L22" s="60"/>
      <c r="M22" s="60"/>
      <c r="N22" s="60"/>
      <c r="O22" s="60"/>
      <c r="P22" s="60"/>
      <c r="Q22" s="60"/>
    </row>
    <row r="23" spans="1:18" s="7" customFormat="1" ht="15.75" customHeight="1" x14ac:dyDescent="0.25">
      <c r="A23" s="8"/>
      <c r="B23" s="11" t="s">
        <v>21</v>
      </c>
      <c r="C23" s="61" t="s">
        <v>22</v>
      </c>
      <c r="D23" s="61"/>
      <c r="E23" s="61"/>
      <c r="F23" s="61"/>
      <c r="G23" s="61"/>
      <c r="H23" s="61"/>
      <c r="I23" s="29"/>
      <c r="J23" s="8"/>
      <c r="L23" s="61" t="s">
        <v>28</v>
      </c>
      <c r="M23" s="61"/>
      <c r="N23" s="61"/>
      <c r="O23" s="61"/>
      <c r="P23" s="61"/>
      <c r="Q23" s="61"/>
      <c r="R23" s="61"/>
    </row>
    <row r="24" spans="1:18" x14ac:dyDescent="0.25">
      <c r="A24" s="27" t="s">
        <v>0</v>
      </c>
      <c r="B24" s="2">
        <v>2020</v>
      </c>
      <c r="C24" s="2">
        <v>2025</v>
      </c>
      <c r="D24" s="2">
        <v>2030</v>
      </c>
      <c r="E24" s="2">
        <v>2035</v>
      </c>
      <c r="F24" s="2">
        <v>2040</v>
      </c>
      <c r="G24" s="2">
        <v>2045</v>
      </c>
      <c r="H24" s="2">
        <v>2050</v>
      </c>
      <c r="K24" s="2"/>
      <c r="L24" s="2">
        <v>2020</v>
      </c>
      <c r="M24" s="2">
        <v>2025</v>
      </c>
      <c r="N24" s="2">
        <v>2030</v>
      </c>
      <c r="O24" s="2">
        <v>2035</v>
      </c>
      <c r="P24" s="2">
        <v>2040</v>
      </c>
      <c r="Q24" s="2">
        <v>2045</v>
      </c>
      <c r="R24" s="2">
        <v>2050</v>
      </c>
    </row>
    <row r="25" spans="1:18" s="10" customFormat="1" x14ac:dyDescent="0.25">
      <c r="A25" s="15" t="s">
        <v>3</v>
      </c>
      <c r="B25" s="30">
        <v>78113.695219231391</v>
      </c>
      <c r="C25" s="30">
        <v>89719.766104351118</v>
      </c>
      <c r="D25" s="30">
        <v>100786.4646668338</v>
      </c>
      <c r="E25" s="30">
        <v>112910.20053009153</v>
      </c>
      <c r="F25" s="30">
        <v>123826.05144436059</v>
      </c>
      <c r="G25" s="30">
        <v>134137.77592358869</v>
      </c>
      <c r="H25" s="30">
        <v>144449.5004028168</v>
      </c>
      <c r="J25" s="16"/>
      <c r="K25" s="25"/>
      <c r="L25" s="25">
        <f t="shared" ref="L25:L40" si="1">B5/B25</f>
        <v>0.95703313172402715</v>
      </c>
      <c r="M25" s="25">
        <f t="shared" ref="M25:M40" si="2">C5/C25</f>
        <v>0.95703313172402715</v>
      </c>
      <c r="N25" s="25">
        <f t="shared" ref="N25:N40" si="3">D5/D25</f>
        <v>0.95703313172402715</v>
      </c>
      <c r="O25" s="25">
        <f t="shared" ref="O25:O40" si="4">E5/E25</f>
        <v>0.95703313172402715</v>
      </c>
      <c r="P25" s="25">
        <f t="shared" ref="P25:P40" si="5">F5/F25</f>
        <v>0.95703313172402715</v>
      </c>
      <c r="Q25" s="25">
        <f t="shared" ref="Q25:Q40" si="6">G5/G25</f>
        <v>0.95703313172402715</v>
      </c>
      <c r="R25" s="25">
        <f t="shared" ref="R25:R40" si="7">H5/H25</f>
        <v>0.95703313172402704</v>
      </c>
    </row>
    <row r="26" spans="1:18" s="10" customFormat="1" x14ac:dyDescent="0.25">
      <c r="A26" s="15" t="s">
        <v>4</v>
      </c>
      <c r="B26" s="30">
        <v>62896.442235999828</v>
      </c>
      <c r="C26" s="30">
        <v>66774.813985302928</v>
      </c>
      <c r="D26" s="30">
        <v>70432.197038148603</v>
      </c>
      <c r="E26" s="30">
        <v>74525.519541382993</v>
      </c>
      <c r="F26" s="30">
        <v>78120.107991956596</v>
      </c>
      <c r="G26" s="30">
        <v>81465.530680950687</v>
      </c>
      <c r="H26" s="30">
        <v>84810.953369944793</v>
      </c>
      <c r="J26" s="16"/>
      <c r="K26" s="25"/>
      <c r="L26" s="25">
        <f t="shared" si="1"/>
        <v>0.92697386586970287</v>
      </c>
      <c r="M26" s="25">
        <f t="shared" si="2"/>
        <v>0.92697386586970298</v>
      </c>
      <c r="N26" s="25">
        <f t="shared" si="3"/>
        <v>0.92697386586970298</v>
      </c>
      <c r="O26" s="25">
        <f t="shared" si="4"/>
        <v>0.92697386586970287</v>
      </c>
      <c r="P26" s="25">
        <f t="shared" si="5"/>
        <v>0.92697386586970287</v>
      </c>
      <c r="Q26" s="25">
        <f t="shared" si="6"/>
        <v>0.92697386586970298</v>
      </c>
      <c r="R26" s="25">
        <f t="shared" si="7"/>
        <v>0.92697386586970287</v>
      </c>
    </row>
    <row r="27" spans="1:18" x14ac:dyDescent="0.25">
      <c r="A27" s="15" t="s">
        <v>12</v>
      </c>
      <c r="B27" s="30">
        <v>12959.717452026909</v>
      </c>
      <c r="C27" s="30">
        <v>13174.361781747051</v>
      </c>
      <c r="D27" s="30">
        <v>13439.723758996004</v>
      </c>
      <c r="E27" s="30">
        <v>13718.670820404459</v>
      </c>
      <c r="F27" s="30">
        <v>13981.315780821511</v>
      </c>
      <c r="G27" s="30">
        <v>14236.262526881512</v>
      </c>
      <c r="H27" s="30">
        <v>14491.662109080162</v>
      </c>
      <c r="J27" s="16"/>
      <c r="K27" s="25"/>
      <c r="L27" s="25">
        <f t="shared" si="1"/>
        <v>0.91630884534311807</v>
      </c>
      <c r="M27" s="25">
        <f t="shared" si="2"/>
        <v>0.91630884534311807</v>
      </c>
      <c r="N27" s="25">
        <f t="shared" si="3"/>
        <v>0.91630884534311807</v>
      </c>
      <c r="O27" s="25">
        <f t="shared" si="4"/>
        <v>0.91630884534311807</v>
      </c>
      <c r="P27" s="25">
        <f t="shared" si="5"/>
        <v>0.91630884534311807</v>
      </c>
      <c r="Q27" s="25">
        <f t="shared" si="6"/>
        <v>0.91630884534311807</v>
      </c>
      <c r="R27" s="25">
        <f t="shared" si="7"/>
        <v>0.91630884534311807</v>
      </c>
    </row>
    <row r="28" spans="1:18" s="10" customFormat="1" x14ac:dyDescent="0.25">
      <c r="A28" s="15" t="s">
        <v>5</v>
      </c>
      <c r="B28" s="30">
        <v>567026.18713314983</v>
      </c>
      <c r="C28" s="30">
        <v>595340.35339157982</v>
      </c>
      <c r="D28" s="30">
        <v>619735.6599820772</v>
      </c>
      <c r="E28" s="30">
        <v>650893.37569442706</v>
      </c>
      <c r="F28" s="30">
        <v>674322.43612113094</v>
      </c>
      <c r="G28" s="30">
        <v>693886.07388442755</v>
      </c>
      <c r="H28" s="30">
        <v>713449.71164772403</v>
      </c>
      <c r="J28" s="16"/>
      <c r="K28" s="25"/>
      <c r="L28" s="25">
        <f t="shared" si="1"/>
        <v>0.92807402614580026</v>
      </c>
      <c r="M28" s="25">
        <f t="shared" si="2"/>
        <v>0.92807402614580026</v>
      </c>
      <c r="N28" s="25">
        <f t="shared" si="3"/>
        <v>0.92807402614580015</v>
      </c>
      <c r="O28" s="25">
        <f t="shared" si="4"/>
        <v>0.92807402614580015</v>
      </c>
      <c r="P28" s="25">
        <f t="shared" si="5"/>
        <v>0.92807402614580004</v>
      </c>
      <c r="Q28" s="25">
        <f t="shared" si="6"/>
        <v>0.92807402614580015</v>
      </c>
      <c r="R28" s="25">
        <f t="shared" si="7"/>
        <v>0.92807402614580015</v>
      </c>
    </row>
    <row r="29" spans="1:18" x14ac:dyDescent="0.25">
      <c r="A29" s="15" t="s">
        <v>13</v>
      </c>
      <c r="B29" s="30">
        <v>13309.115498625089</v>
      </c>
      <c r="C29" s="30">
        <v>13293.161963882822</v>
      </c>
      <c r="D29" s="30">
        <v>13196.473874535744</v>
      </c>
      <c r="E29" s="30">
        <v>13133.143176013409</v>
      </c>
      <c r="F29" s="30">
        <v>13037.90540800654</v>
      </c>
      <c r="G29" s="30">
        <v>12924.78034347046</v>
      </c>
      <c r="H29" s="30">
        <v>12812.138719381115</v>
      </c>
      <c r="J29" s="16"/>
      <c r="K29" s="25"/>
      <c r="L29" s="25">
        <f t="shared" si="1"/>
        <v>0.8583017042494604</v>
      </c>
      <c r="M29" s="25">
        <f t="shared" si="2"/>
        <v>0.8583017042494604</v>
      </c>
      <c r="N29" s="25">
        <f t="shared" si="3"/>
        <v>0.8583017042494604</v>
      </c>
      <c r="O29" s="25">
        <f t="shared" si="4"/>
        <v>0.8583017042494604</v>
      </c>
      <c r="P29" s="25">
        <f t="shared" si="5"/>
        <v>0.8583017042494604</v>
      </c>
      <c r="Q29" s="25">
        <f t="shared" si="6"/>
        <v>0.8583017042494604</v>
      </c>
      <c r="R29" s="25">
        <f t="shared" si="7"/>
        <v>0.8583017042494604</v>
      </c>
    </row>
    <row r="30" spans="1:18" x14ac:dyDescent="0.25">
      <c r="A30" s="15" t="s">
        <v>14</v>
      </c>
      <c r="B30" s="30">
        <v>26330.126021833581</v>
      </c>
      <c r="C30" s="30">
        <v>26913.910895491212</v>
      </c>
      <c r="D30" s="30">
        <v>27409.770983131602</v>
      </c>
      <c r="E30" s="30">
        <v>28112.276633848047</v>
      </c>
      <c r="F30" s="30">
        <v>28578.679686579108</v>
      </c>
      <c r="G30" s="30">
        <v>28927.700918383594</v>
      </c>
      <c r="H30" s="30">
        <v>29277.168468898828</v>
      </c>
      <c r="J30" s="16"/>
      <c r="K30" s="25"/>
      <c r="L30" s="25">
        <f t="shared" si="1"/>
        <v>0.88910768755550407</v>
      </c>
      <c r="M30" s="25">
        <f t="shared" si="2"/>
        <v>0.88910768755550407</v>
      </c>
      <c r="N30" s="25">
        <f t="shared" si="3"/>
        <v>0.88910768755550407</v>
      </c>
      <c r="O30" s="25">
        <f t="shared" si="4"/>
        <v>0.88910768755550418</v>
      </c>
      <c r="P30" s="25">
        <f t="shared" si="5"/>
        <v>0.88910768755550407</v>
      </c>
      <c r="Q30" s="25">
        <f t="shared" si="6"/>
        <v>0.88910768755550407</v>
      </c>
      <c r="R30" s="25">
        <f t="shared" si="7"/>
        <v>0.88910768755550407</v>
      </c>
    </row>
    <row r="31" spans="1:18" s="10" customFormat="1" x14ac:dyDescent="0.25">
      <c r="A31" s="15" t="s">
        <v>6</v>
      </c>
      <c r="B31" s="30">
        <v>72346.914501063555</v>
      </c>
      <c r="C31" s="30">
        <v>77300.832075846236</v>
      </c>
      <c r="D31" s="30">
        <v>81266.782979849013</v>
      </c>
      <c r="E31" s="30">
        <v>87847.013824854686</v>
      </c>
      <c r="F31" s="30">
        <v>91438.904391870383</v>
      </c>
      <c r="G31" s="30">
        <v>93537.867545263129</v>
      </c>
      <c r="H31" s="30">
        <v>95637.244940446544</v>
      </c>
      <c r="J31" s="16"/>
      <c r="K31" s="25"/>
      <c r="L31" s="25">
        <f t="shared" si="1"/>
        <v>0.90753723568995137</v>
      </c>
      <c r="M31" s="25">
        <f t="shared" si="2"/>
        <v>0.90753723568995126</v>
      </c>
      <c r="N31" s="25">
        <f t="shared" si="3"/>
        <v>0.90753723568995137</v>
      </c>
      <c r="O31" s="25">
        <f t="shared" si="4"/>
        <v>0.90753723568995126</v>
      </c>
      <c r="P31" s="25">
        <f t="shared" si="5"/>
        <v>0.90753723568995126</v>
      </c>
      <c r="Q31" s="25">
        <f t="shared" si="6"/>
        <v>0.90753723568995115</v>
      </c>
      <c r="R31" s="25">
        <f t="shared" si="7"/>
        <v>0.90753723568995126</v>
      </c>
    </row>
    <row r="32" spans="1:18" x14ac:dyDescent="0.25">
      <c r="A32" s="15" t="s">
        <v>15</v>
      </c>
      <c r="B32" s="30">
        <v>23837.224136869685</v>
      </c>
      <c r="C32" s="30">
        <v>23852.914779403171</v>
      </c>
      <c r="D32" s="30">
        <v>24014.005376080277</v>
      </c>
      <c r="E32" s="30">
        <v>24198.631936557613</v>
      </c>
      <c r="F32" s="30">
        <v>24350.831169132412</v>
      </c>
      <c r="G32" s="30">
        <v>24494.139037604902</v>
      </c>
      <c r="H32" s="30">
        <v>24637.446906077395</v>
      </c>
      <c r="J32" s="16"/>
      <c r="K32" s="25"/>
      <c r="L32" s="48">
        <f t="shared" si="1"/>
        <v>0.79334754797441365</v>
      </c>
      <c r="M32" s="48">
        <f t="shared" si="2"/>
        <v>0.79334754797441365</v>
      </c>
      <c r="N32" s="48">
        <f t="shared" si="3"/>
        <v>0.79334754797441365</v>
      </c>
      <c r="O32" s="25">
        <f t="shared" si="4"/>
        <v>0.79334754797441365</v>
      </c>
      <c r="P32" s="25">
        <f t="shared" si="5"/>
        <v>0.79334754797441365</v>
      </c>
      <c r="Q32" s="25">
        <f t="shared" si="6"/>
        <v>0.79334754797441365</v>
      </c>
      <c r="R32" s="25">
        <f t="shared" si="7"/>
        <v>0.79334754797441365</v>
      </c>
    </row>
    <row r="33" spans="1:18" s="10" customFormat="1" x14ac:dyDescent="0.25">
      <c r="A33" s="15" t="s">
        <v>7</v>
      </c>
      <c r="B33" s="30">
        <v>15956.862786278114</v>
      </c>
      <c r="C33" s="30">
        <v>16926.827031927918</v>
      </c>
      <c r="D33" s="30">
        <v>17781.024018932389</v>
      </c>
      <c r="E33" s="30">
        <v>18719.97917744505</v>
      </c>
      <c r="F33" s="30">
        <v>19562.599438584988</v>
      </c>
      <c r="G33" s="30">
        <v>20356.018614800658</v>
      </c>
      <c r="H33" s="30">
        <v>21149.437791016335</v>
      </c>
      <c r="J33" s="16"/>
      <c r="K33" s="25"/>
      <c r="L33" s="25">
        <f t="shared" si="1"/>
        <v>0.93024840488137273</v>
      </c>
      <c r="M33" s="25">
        <f t="shared" si="2"/>
        <v>0.93024840488137273</v>
      </c>
      <c r="N33" s="25">
        <f t="shared" si="3"/>
        <v>0.93024840488137273</v>
      </c>
      <c r="O33" s="25">
        <f t="shared" si="4"/>
        <v>0.93024840488137273</v>
      </c>
      <c r="P33" s="25">
        <f t="shared" si="5"/>
        <v>0.93024840488137273</v>
      </c>
      <c r="Q33" s="25">
        <f t="shared" si="6"/>
        <v>0.93024840488137284</v>
      </c>
      <c r="R33" s="25">
        <f t="shared" si="7"/>
        <v>0.93024840488137273</v>
      </c>
    </row>
    <row r="34" spans="1:18" x14ac:dyDescent="0.25">
      <c r="A34" s="15" t="s">
        <v>16</v>
      </c>
      <c r="B34" s="30">
        <v>27935.025919399246</v>
      </c>
      <c r="C34" s="30">
        <v>27914.43556609573</v>
      </c>
      <c r="D34" s="30">
        <v>27848.452843009451</v>
      </c>
      <c r="E34" s="30">
        <v>27884.953923865691</v>
      </c>
      <c r="F34" s="30">
        <v>27805.400286102096</v>
      </c>
      <c r="G34" s="30">
        <v>27665.479476153181</v>
      </c>
      <c r="H34" s="30">
        <v>27525.558666204266</v>
      </c>
      <c r="J34" s="16"/>
      <c r="K34" s="25"/>
      <c r="L34" s="25">
        <f t="shared" si="1"/>
        <v>0.88302604204031854</v>
      </c>
      <c r="M34" s="25">
        <f t="shared" si="2"/>
        <v>0.88302604204031854</v>
      </c>
      <c r="N34" s="25">
        <f t="shared" si="3"/>
        <v>0.88302604204031854</v>
      </c>
      <c r="O34" s="25">
        <f t="shared" si="4"/>
        <v>0.88302604204031854</v>
      </c>
      <c r="P34" s="25">
        <f t="shared" si="5"/>
        <v>0.88302604204031854</v>
      </c>
      <c r="Q34" s="25">
        <f t="shared" si="6"/>
        <v>0.88302604204031854</v>
      </c>
      <c r="R34" s="25">
        <f t="shared" si="7"/>
        <v>0.88302604204031854</v>
      </c>
    </row>
    <row r="35" spans="1:18" x14ac:dyDescent="0.25">
      <c r="A35" s="15" t="s">
        <v>17</v>
      </c>
      <c r="B35" s="30">
        <v>14258.132048274012</v>
      </c>
      <c r="C35" s="30">
        <v>14854.121885686371</v>
      </c>
      <c r="D35" s="30">
        <v>15360.096706275759</v>
      </c>
      <c r="E35" s="30">
        <v>16041.991285770313</v>
      </c>
      <c r="F35" s="30">
        <v>16523.304457915052</v>
      </c>
      <c r="G35" s="30">
        <v>16904.737953858963</v>
      </c>
      <c r="H35" s="30">
        <v>17286.17144980287</v>
      </c>
      <c r="J35" s="16"/>
      <c r="K35" s="25"/>
      <c r="L35" s="25">
        <f t="shared" si="1"/>
        <v>0.91120876054962685</v>
      </c>
      <c r="M35" s="25">
        <f t="shared" si="2"/>
        <v>0.91120876054962685</v>
      </c>
      <c r="N35" s="25">
        <f t="shared" si="3"/>
        <v>0.91120876054962685</v>
      </c>
      <c r="O35" s="25">
        <f t="shared" si="4"/>
        <v>0.91120876054962685</v>
      </c>
      <c r="P35" s="25">
        <f t="shared" si="5"/>
        <v>0.91120876054962696</v>
      </c>
      <c r="Q35" s="25">
        <f t="shared" si="6"/>
        <v>0.91120876054962685</v>
      </c>
      <c r="R35" s="25">
        <f t="shared" si="7"/>
        <v>0.91120876054962685</v>
      </c>
    </row>
    <row r="36" spans="1:18" x14ac:dyDescent="0.25">
      <c r="A36" s="15" t="s">
        <v>18</v>
      </c>
      <c r="B36" s="30">
        <v>15109.94249394673</v>
      </c>
      <c r="C36" s="30">
        <v>15715.631641781003</v>
      </c>
      <c r="D36" s="30">
        <v>15952.397122455384</v>
      </c>
      <c r="E36" s="30">
        <v>16257.609351179266</v>
      </c>
      <c r="F36" s="30">
        <v>16484.043247242396</v>
      </c>
      <c r="G36" s="30">
        <v>16671.73370101336</v>
      </c>
      <c r="H36" s="30">
        <v>16859.424154784323</v>
      </c>
      <c r="J36" s="16"/>
      <c r="K36" s="25"/>
      <c r="L36" s="25">
        <f t="shared" si="1"/>
        <v>0.86036065360328107</v>
      </c>
      <c r="M36" s="25">
        <f t="shared" si="2"/>
        <v>0.86036065360328107</v>
      </c>
      <c r="N36" s="25">
        <f t="shared" si="3"/>
        <v>0.86036065360328107</v>
      </c>
      <c r="O36" s="25">
        <f t="shared" si="4"/>
        <v>0.86036065360328107</v>
      </c>
      <c r="P36" s="25">
        <f t="shared" si="5"/>
        <v>0.86036065360328118</v>
      </c>
      <c r="Q36" s="25">
        <f t="shared" si="6"/>
        <v>0.86036065360328107</v>
      </c>
      <c r="R36" s="25">
        <f t="shared" si="7"/>
        <v>0.86036065360328107</v>
      </c>
    </row>
    <row r="37" spans="1:18" s="10" customFormat="1" x14ac:dyDescent="0.25">
      <c r="A37" s="15" t="s">
        <v>8</v>
      </c>
      <c r="B37" s="30">
        <v>21743.751308861367</v>
      </c>
      <c r="C37" s="30">
        <v>23126.346201310356</v>
      </c>
      <c r="D37" s="30">
        <v>24437.656708101476</v>
      </c>
      <c r="E37" s="30">
        <v>25856.095161700472</v>
      </c>
      <c r="F37" s="30">
        <v>27152.90714937474</v>
      </c>
      <c r="G37" s="30">
        <v>28388.905904086638</v>
      </c>
      <c r="H37" s="30">
        <v>29624.904658798539</v>
      </c>
      <c r="J37" s="16"/>
      <c r="K37" s="25"/>
      <c r="L37" s="25">
        <f t="shared" si="1"/>
        <v>0.91963415200334264</v>
      </c>
      <c r="M37" s="25">
        <f t="shared" si="2"/>
        <v>0.91963415200334275</v>
      </c>
      <c r="N37" s="25">
        <f t="shared" si="3"/>
        <v>0.91963415200334275</v>
      </c>
      <c r="O37" s="25">
        <f t="shared" si="4"/>
        <v>0.91963415200334275</v>
      </c>
      <c r="P37" s="25">
        <f t="shared" si="5"/>
        <v>0.91963415200334275</v>
      </c>
      <c r="Q37" s="25">
        <f t="shared" si="6"/>
        <v>0.91963415200334275</v>
      </c>
      <c r="R37" s="25">
        <f t="shared" si="7"/>
        <v>0.91963415200334275</v>
      </c>
    </row>
    <row r="38" spans="1:18" x14ac:dyDescent="0.25">
      <c r="A38" s="15" t="s">
        <v>19</v>
      </c>
      <c r="B38" s="30">
        <v>32137.625149390034</v>
      </c>
      <c r="C38" s="30">
        <v>31972.705594515974</v>
      </c>
      <c r="D38" s="30">
        <v>31811.400714817235</v>
      </c>
      <c r="E38" s="30">
        <v>31674.494892551917</v>
      </c>
      <c r="F38" s="30">
        <v>31508.671668884028</v>
      </c>
      <c r="G38" s="30">
        <v>31325.678738133356</v>
      </c>
      <c r="H38" s="30">
        <v>31142.685807382688</v>
      </c>
      <c r="J38" s="18"/>
      <c r="K38" s="25"/>
      <c r="L38" s="25">
        <f t="shared" si="1"/>
        <v>0.90704928259513418</v>
      </c>
      <c r="M38" s="25">
        <f t="shared" si="2"/>
        <v>0.90704928259513418</v>
      </c>
      <c r="N38" s="25">
        <f t="shared" si="3"/>
        <v>0.90704928259513418</v>
      </c>
      <c r="O38" s="25">
        <f t="shared" si="4"/>
        <v>0.90704928259513418</v>
      </c>
      <c r="P38" s="25">
        <f t="shared" si="5"/>
        <v>0.90704928259513418</v>
      </c>
      <c r="Q38" s="25">
        <f t="shared" si="6"/>
        <v>0.90704928259513418</v>
      </c>
      <c r="R38" s="25">
        <f t="shared" si="7"/>
        <v>0.90704928259513418</v>
      </c>
    </row>
    <row r="39" spans="1:18" s="10" customFormat="1" x14ac:dyDescent="0.25">
      <c r="A39" s="15" t="s">
        <v>9</v>
      </c>
      <c r="B39" s="30">
        <v>23727.284624451815</v>
      </c>
      <c r="C39" s="30">
        <v>24980.11714145563</v>
      </c>
      <c r="D39" s="30">
        <v>27273.721437618511</v>
      </c>
      <c r="E39" s="30">
        <v>29691.692181539969</v>
      </c>
      <c r="F39" s="30">
        <v>31967.359009276137</v>
      </c>
      <c r="G39" s="30">
        <v>34172.073184124405</v>
      </c>
      <c r="H39" s="30">
        <v>36376.787358972673</v>
      </c>
      <c r="J39" s="18"/>
      <c r="K39" s="34"/>
      <c r="L39" s="25">
        <f t="shared" si="1"/>
        <v>0.950270915602902</v>
      </c>
      <c r="M39" s="25">
        <f t="shared" si="2"/>
        <v>0.950270915602902</v>
      </c>
      <c r="N39" s="25">
        <f t="shared" si="3"/>
        <v>0.950270915602902</v>
      </c>
      <c r="O39" s="25">
        <f t="shared" si="4"/>
        <v>0.950270915602902</v>
      </c>
      <c r="P39" s="25">
        <f t="shared" si="5"/>
        <v>0.950270915602902</v>
      </c>
      <c r="Q39" s="25">
        <f t="shared" si="6"/>
        <v>0.950270915602902</v>
      </c>
      <c r="R39" s="25">
        <f t="shared" si="7"/>
        <v>0.950270915602902</v>
      </c>
    </row>
    <row r="40" spans="1:18" s="12" customFormat="1" x14ac:dyDescent="0.25">
      <c r="A40" s="14" t="s">
        <v>30</v>
      </c>
      <c r="B40" s="20">
        <f t="shared" ref="B40:H40" si="8">SUM(B25:B39)</f>
        <v>1007688.0465294012</v>
      </c>
      <c r="C40" s="20">
        <f t="shared" si="8"/>
        <v>1061860.3000403775</v>
      </c>
      <c r="D40" s="20">
        <f t="shared" si="8"/>
        <v>1110745.8282108626</v>
      </c>
      <c r="E40" s="20">
        <f t="shared" si="8"/>
        <v>1171465.6481316325</v>
      </c>
      <c r="F40" s="20">
        <f t="shared" si="8"/>
        <v>1218660.5172512378</v>
      </c>
      <c r="G40" s="20">
        <f t="shared" si="8"/>
        <v>1259094.7584327408</v>
      </c>
      <c r="H40" s="20">
        <f t="shared" si="8"/>
        <v>1299530.7964513316</v>
      </c>
      <c r="J40" s="9"/>
      <c r="K40" s="35"/>
      <c r="L40" s="26">
        <f t="shared" si="1"/>
        <v>0.92069941981894865</v>
      </c>
      <c r="M40" s="26">
        <f t="shared" si="2"/>
        <v>0.9212408293157538</v>
      </c>
      <c r="N40" s="26">
        <f t="shared" si="3"/>
        <v>0.92174063109804438</v>
      </c>
      <c r="O40" s="26">
        <f t="shared" si="4"/>
        <v>0.92221671179937514</v>
      </c>
      <c r="P40" s="26">
        <f t="shared" si="5"/>
        <v>0.92263087435953384</v>
      </c>
      <c r="Q40" s="26">
        <f t="shared" si="6"/>
        <v>0.92300824654289726</v>
      </c>
      <c r="R40" s="26">
        <f t="shared" si="7"/>
        <v>0.92336209173590411</v>
      </c>
    </row>
    <row r="43" spans="1:18" x14ac:dyDescent="0.25">
      <c r="A43" s="13">
        <v>1</v>
      </c>
      <c r="B43" s="13" t="s">
        <v>48</v>
      </c>
    </row>
    <row r="44" spans="1:18" x14ac:dyDescent="0.25">
      <c r="A44" s="13">
        <v>2</v>
      </c>
      <c r="B44" s="13" t="s">
        <v>49</v>
      </c>
    </row>
    <row r="46" spans="1:18" x14ac:dyDescent="0.25">
      <c r="B46" s="28" t="s">
        <v>47</v>
      </c>
    </row>
  </sheetData>
  <mergeCells count="7">
    <mergeCell ref="C1:R1"/>
    <mergeCell ref="A2:R2"/>
    <mergeCell ref="A22:Q22"/>
    <mergeCell ref="L3:R3"/>
    <mergeCell ref="L23:R23"/>
    <mergeCell ref="C23:H23"/>
    <mergeCell ref="C3:H3"/>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53203-2830-4059-BB09-DA5A975FA39E}">
  <dimension ref="A1:R45"/>
  <sheetViews>
    <sheetView workbookViewId="0">
      <selection activeCell="H20" sqref="H20"/>
    </sheetView>
  </sheetViews>
  <sheetFormatPr defaultRowHeight="15" x14ac:dyDescent="0.25"/>
  <cols>
    <col min="1" max="1" width="20.140625" customWidth="1"/>
    <col min="2" max="2" width="10.7109375" customWidth="1"/>
    <col min="3" max="3" width="11.28515625" bestFit="1" customWidth="1"/>
    <col min="4" max="4" width="11.140625" customWidth="1"/>
    <col min="5" max="5" width="11.28515625" bestFit="1" customWidth="1"/>
    <col min="6" max="6" width="10.7109375" customWidth="1"/>
    <col min="7" max="7" width="11.28515625" customWidth="1"/>
    <col min="8" max="8" width="10.28515625" customWidth="1"/>
    <col min="9" max="9" width="11.28515625" customWidth="1"/>
    <col min="10" max="10" width="2.28515625" customWidth="1"/>
    <col min="11" max="11" width="11.28515625" bestFit="1" customWidth="1"/>
    <col min="12" max="12" width="10.42578125" customWidth="1"/>
    <col min="13" max="13" width="11.28515625" bestFit="1" customWidth="1"/>
    <col min="14" max="14" width="10.85546875" customWidth="1"/>
    <col min="15" max="15" width="11.28515625" bestFit="1" customWidth="1"/>
    <col min="16" max="16" width="10.85546875" customWidth="1"/>
    <col min="17" max="17" width="11.28515625" bestFit="1" customWidth="1"/>
  </cols>
  <sheetData>
    <row r="1" spans="1:18" ht="65.25" customHeight="1" x14ac:dyDescent="0.3">
      <c r="C1" s="59" t="s">
        <v>23</v>
      </c>
      <c r="D1" s="59"/>
      <c r="E1" s="59"/>
      <c r="F1" s="59"/>
      <c r="G1" s="59"/>
      <c r="H1" s="59"/>
      <c r="I1" s="59"/>
      <c r="J1" s="59"/>
      <c r="K1" s="59"/>
      <c r="L1" s="59"/>
      <c r="M1" s="59"/>
      <c r="N1" s="59"/>
      <c r="O1" s="59"/>
      <c r="P1" s="59"/>
      <c r="Q1" s="59"/>
      <c r="R1" s="59"/>
    </row>
    <row r="2" spans="1:18" s="7" customFormat="1" ht="26.25" customHeight="1" x14ac:dyDescent="0.25">
      <c r="A2" s="60" t="s">
        <v>24</v>
      </c>
      <c r="B2" s="60"/>
      <c r="C2" s="60"/>
      <c r="D2" s="60"/>
      <c r="E2" s="60"/>
      <c r="F2" s="60"/>
      <c r="G2" s="60"/>
      <c r="H2" s="60"/>
      <c r="I2" s="60"/>
      <c r="J2" s="60"/>
      <c r="K2" s="60"/>
      <c r="L2" s="60"/>
      <c r="M2" s="60"/>
      <c r="N2" s="60"/>
      <c r="O2" s="60"/>
      <c r="P2" s="60"/>
      <c r="Q2" s="60"/>
      <c r="R2" s="60"/>
    </row>
    <row r="3" spans="1:18" s="7" customFormat="1" ht="15.75" customHeight="1" x14ac:dyDescent="0.25">
      <c r="A3" s="8"/>
      <c r="B3" s="11" t="s">
        <v>21</v>
      </c>
      <c r="C3" s="61" t="s">
        <v>22</v>
      </c>
      <c r="D3" s="61"/>
      <c r="E3" s="61"/>
      <c r="F3" s="61"/>
      <c r="G3" s="61"/>
      <c r="H3" s="61"/>
      <c r="I3" s="29"/>
      <c r="J3" s="8"/>
      <c r="L3" s="61" t="s">
        <v>29</v>
      </c>
      <c r="M3" s="61"/>
      <c r="N3" s="61"/>
      <c r="O3" s="61"/>
      <c r="P3" s="61"/>
      <c r="Q3" s="61"/>
      <c r="R3" s="61"/>
    </row>
    <row r="4" spans="1:18" x14ac:dyDescent="0.25">
      <c r="B4" s="2">
        <v>2020</v>
      </c>
      <c r="C4" s="2">
        <v>2025</v>
      </c>
      <c r="D4" s="2">
        <v>2030</v>
      </c>
      <c r="E4" s="2">
        <v>2035</v>
      </c>
      <c r="F4" s="2">
        <v>2040</v>
      </c>
      <c r="G4" s="2">
        <v>2045</v>
      </c>
      <c r="H4" s="2">
        <v>2050</v>
      </c>
      <c r="K4" s="2"/>
      <c r="L4" s="2">
        <v>2020</v>
      </c>
      <c r="M4" s="2">
        <v>2025</v>
      </c>
      <c r="N4" s="2">
        <v>2030</v>
      </c>
      <c r="O4" s="2">
        <v>2035</v>
      </c>
      <c r="P4" s="2">
        <v>2040</v>
      </c>
      <c r="Q4" s="2">
        <v>2045</v>
      </c>
      <c r="R4" s="2">
        <v>2050</v>
      </c>
    </row>
    <row r="5" spans="1:18" s="5" customFormat="1" x14ac:dyDescent="0.25">
      <c r="A5" s="15" t="s">
        <v>3</v>
      </c>
      <c r="B5" s="16">
        <v>114891.02512338062</v>
      </c>
      <c r="C5" s="16">
        <v>131476.76155533473</v>
      </c>
      <c r="D5" s="16">
        <v>145904.39765467084</v>
      </c>
      <c r="E5" s="16">
        <v>161284.48021541242</v>
      </c>
      <c r="F5" s="16">
        <v>175629.35703928326</v>
      </c>
      <c r="G5" s="16">
        <v>189645.64068912767</v>
      </c>
      <c r="H5" s="16">
        <v>204383.6153672089</v>
      </c>
      <c r="J5" s="16"/>
      <c r="K5" s="17"/>
      <c r="L5" s="17" t="e">
        <f>B5/#REF!</f>
        <v>#REF!</v>
      </c>
      <c r="M5" s="17" t="e">
        <f>C5/#REF!</f>
        <v>#REF!</v>
      </c>
      <c r="N5" s="17" t="e">
        <f>D5/#REF!</f>
        <v>#REF!</v>
      </c>
      <c r="O5" s="17" t="e">
        <f>E5/#REF!</f>
        <v>#REF!</v>
      </c>
      <c r="P5" s="17" t="e">
        <f>F5/#REF!</f>
        <v>#REF!</v>
      </c>
      <c r="Q5" s="17" t="e">
        <f>G5/#REF!</f>
        <v>#REF!</v>
      </c>
      <c r="R5" s="17" t="e">
        <f>H5/#REF!</f>
        <v>#REF!</v>
      </c>
    </row>
    <row r="6" spans="1:18" s="5" customFormat="1" x14ac:dyDescent="0.25">
      <c r="A6" s="15" t="s">
        <v>4</v>
      </c>
      <c r="B6" s="16">
        <v>79709.989440663252</v>
      </c>
      <c r="C6" s="16">
        <v>83296.055723553378</v>
      </c>
      <c r="D6" s="16">
        <v>86600.856639589416</v>
      </c>
      <c r="E6" s="16">
        <v>91260.22777401327</v>
      </c>
      <c r="F6" s="16">
        <v>96135.046850985469</v>
      </c>
      <c r="G6" s="16">
        <v>101091.30705275264</v>
      </c>
      <c r="H6" s="16">
        <v>105854.27881141935</v>
      </c>
      <c r="J6" s="16"/>
      <c r="K6" s="17"/>
      <c r="L6" s="17" t="e">
        <f>B6/#REF!</f>
        <v>#REF!</v>
      </c>
      <c r="M6" s="17" t="e">
        <f>C6/#REF!</f>
        <v>#REF!</v>
      </c>
      <c r="N6" s="17" t="e">
        <f>D6/#REF!</f>
        <v>#REF!</v>
      </c>
      <c r="O6" s="17" t="e">
        <f>E6/#REF!</f>
        <v>#REF!</v>
      </c>
      <c r="P6" s="17" t="e">
        <f>F6/#REF!</f>
        <v>#REF!</v>
      </c>
      <c r="Q6" s="17" t="e">
        <f>G6/#REF!</f>
        <v>#REF!</v>
      </c>
      <c r="R6" s="17" t="e">
        <f>H6/#REF!</f>
        <v>#REF!</v>
      </c>
    </row>
    <row r="7" spans="1:18" s="5" customFormat="1" x14ac:dyDescent="0.25">
      <c r="A7" s="15" t="s">
        <v>12</v>
      </c>
      <c r="B7" s="16">
        <v>13086.305930030103</v>
      </c>
      <c r="C7" s="16">
        <v>13264.937659317522</v>
      </c>
      <c r="D7" s="16">
        <v>13505.883172509579</v>
      </c>
      <c r="E7" s="16">
        <v>13716.198723262925</v>
      </c>
      <c r="F7" s="16">
        <v>13914.371704598445</v>
      </c>
      <c r="G7" s="16">
        <v>14175.132794161147</v>
      </c>
      <c r="H7" s="16">
        <v>14485.299015456694</v>
      </c>
      <c r="J7" s="16"/>
      <c r="K7" s="17"/>
      <c r="L7" s="17" t="e">
        <f>B7/#REF!</f>
        <v>#REF!</v>
      </c>
      <c r="M7" s="17" t="e">
        <f>C7/#REF!</f>
        <v>#REF!</v>
      </c>
      <c r="N7" s="17" t="e">
        <f>D7/#REF!</f>
        <v>#REF!</v>
      </c>
      <c r="O7" s="17" t="e">
        <f>E7/#REF!</f>
        <v>#REF!</v>
      </c>
      <c r="P7" s="17" t="e">
        <f>F7/#REF!</f>
        <v>#REF!</v>
      </c>
      <c r="Q7" s="17" t="e">
        <f>G7/#REF!</f>
        <v>#REF!</v>
      </c>
      <c r="R7" s="17" t="e">
        <f>H7/#REF!</f>
        <v>#REF!</v>
      </c>
    </row>
    <row r="8" spans="1:18" s="5" customFormat="1" x14ac:dyDescent="0.25">
      <c r="A8" s="15" t="s">
        <v>5</v>
      </c>
      <c r="B8" s="16">
        <v>726058.27189851156</v>
      </c>
      <c r="C8" s="16">
        <v>752800.92133698077</v>
      </c>
      <c r="D8" s="16">
        <v>777956.62873996864</v>
      </c>
      <c r="E8" s="16">
        <v>816413.7284155282</v>
      </c>
      <c r="F8" s="16">
        <v>849684.90117475518</v>
      </c>
      <c r="G8" s="16">
        <v>878073.12309398584</v>
      </c>
      <c r="H8" s="16">
        <v>902582.51764139731</v>
      </c>
      <c r="J8" s="16"/>
      <c r="K8" s="17"/>
      <c r="L8" s="17" t="e">
        <f>B8/#REF!</f>
        <v>#REF!</v>
      </c>
      <c r="M8" s="17" t="e">
        <f>C8/#REF!</f>
        <v>#REF!</v>
      </c>
      <c r="N8" s="17" t="e">
        <f>D8/#REF!</f>
        <v>#REF!</v>
      </c>
      <c r="O8" s="17" t="e">
        <f>E8/#REF!</f>
        <v>#REF!</v>
      </c>
      <c r="P8" s="17" t="e">
        <f>F8/#REF!</f>
        <v>#REF!</v>
      </c>
      <c r="Q8" s="17" t="e">
        <f>G8/#REF!</f>
        <v>#REF!</v>
      </c>
      <c r="R8" s="17" t="e">
        <f>H8/#REF!</f>
        <v>#REF!</v>
      </c>
    </row>
    <row r="9" spans="1:18" s="5" customFormat="1" x14ac:dyDescent="0.25">
      <c r="A9" s="15" t="s">
        <v>13</v>
      </c>
      <c r="B9" s="16">
        <v>13141.638960577073</v>
      </c>
      <c r="C9" s="16">
        <v>12788.823993821952</v>
      </c>
      <c r="D9" s="16">
        <v>12437.538185252492</v>
      </c>
      <c r="E9" s="16">
        <v>12283.004031043145</v>
      </c>
      <c r="F9" s="16">
        <v>12196.288161010212</v>
      </c>
      <c r="G9" s="16">
        <v>12177.601582539663</v>
      </c>
      <c r="H9" s="16">
        <v>12125.390697008184</v>
      </c>
      <c r="J9" s="16"/>
      <c r="K9" s="17"/>
      <c r="L9" s="17" t="e">
        <f>B9/#REF!</f>
        <v>#REF!</v>
      </c>
      <c r="M9" s="17" t="e">
        <f>C9/#REF!</f>
        <v>#REF!</v>
      </c>
      <c r="N9" s="17" t="e">
        <f>D9/#REF!</f>
        <v>#REF!</v>
      </c>
      <c r="O9" s="17" t="e">
        <f>E9/#REF!</f>
        <v>#REF!</v>
      </c>
      <c r="P9" s="17" t="e">
        <f>F9/#REF!</f>
        <v>#REF!</v>
      </c>
      <c r="Q9" s="17" t="e">
        <f>G9/#REF!</f>
        <v>#REF!</v>
      </c>
      <c r="R9" s="17" t="e">
        <f>H9/#REF!</f>
        <v>#REF!</v>
      </c>
    </row>
    <row r="10" spans="1:18" s="5" customFormat="1" x14ac:dyDescent="0.25">
      <c r="A10" s="15" t="s">
        <v>14</v>
      </c>
      <c r="B10" s="16">
        <v>30472.510919060456</v>
      </c>
      <c r="C10" s="16">
        <v>30473.188855784556</v>
      </c>
      <c r="D10" s="16">
        <v>30471.210771419734</v>
      </c>
      <c r="E10" s="16">
        <v>31056.438192145128</v>
      </c>
      <c r="F10" s="16">
        <v>31734.466198578804</v>
      </c>
      <c r="G10" s="16">
        <v>32525.09901158592</v>
      </c>
      <c r="H10" s="16">
        <v>33238.261222524969</v>
      </c>
      <c r="J10" s="16"/>
      <c r="K10" s="17"/>
      <c r="L10" s="17" t="e">
        <f>B10/#REF!</f>
        <v>#REF!</v>
      </c>
      <c r="M10" s="17" t="e">
        <f>C10/#REF!</f>
        <v>#REF!</v>
      </c>
      <c r="N10" s="17" t="e">
        <f>D10/#REF!</f>
        <v>#REF!</v>
      </c>
      <c r="O10" s="17" t="e">
        <f>E10/#REF!</f>
        <v>#REF!</v>
      </c>
      <c r="P10" s="17" t="e">
        <f>F10/#REF!</f>
        <v>#REF!</v>
      </c>
      <c r="Q10" s="17" t="e">
        <f>G10/#REF!</f>
        <v>#REF!</v>
      </c>
      <c r="R10" s="17" t="e">
        <f>H10/#REF!</f>
        <v>#REF!</v>
      </c>
    </row>
    <row r="11" spans="1:18" s="5" customFormat="1" x14ac:dyDescent="0.25">
      <c r="A11" s="15" t="s">
        <v>6</v>
      </c>
      <c r="B11" s="16">
        <v>89406.900727194836</v>
      </c>
      <c r="C11" s="16">
        <v>93965.212113452406</v>
      </c>
      <c r="D11" s="16">
        <v>97613.207836931077</v>
      </c>
      <c r="E11" s="16">
        <v>105358.46908816883</v>
      </c>
      <c r="F11" s="16">
        <v>110540.5472023715</v>
      </c>
      <c r="G11" s="16">
        <v>114492.42427687603</v>
      </c>
      <c r="H11" s="16">
        <v>117967.05046220132</v>
      </c>
      <c r="J11" s="16"/>
      <c r="K11" s="17"/>
      <c r="L11" s="17" t="e">
        <f>B11/#REF!</f>
        <v>#REF!</v>
      </c>
      <c r="M11" s="17" t="e">
        <f>C11/#REF!</f>
        <v>#REF!</v>
      </c>
      <c r="N11" s="17" t="e">
        <f>D11/#REF!</f>
        <v>#REF!</v>
      </c>
      <c r="O11" s="17" t="e">
        <f>E11/#REF!</f>
        <v>#REF!</v>
      </c>
      <c r="P11" s="17" t="e">
        <f>F11/#REF!</f>
        <v>#REF!</v>
      </c>
      <c r="Q11" s="17" t="e">
        <f>G11/#REF!</f>
        <v>#REF!</v>
      </c>
      <c r="R11" s="17" t="e">
        <f>H11/#REF!</f>
        <v>#REF!</v>
      </c>
    </row>
    <row r="12" spans="1:18" s="5" customFormat="1" x14ac:dyDescent="0.25">
      <c r="A12" s="15" t="s">
        <v>15</v>
      </c>
      <c r="B12" s="16">
        <v>22388.943683597266</v>
      </c>
      <c r="C12" s="16">
        <v>21992.315106428869</v>
      </c>
      <c r="D12" s="16">
        <v>21828.74554850077</v>
      </c>
      <c r="E12" s="16">
        <v>21857.745373269539</v>
      </c>
      <c r="F12" s="16">
        <v>22077.094929317875</v>
      </c>
      <c r="G12" s="16">
        <v>22453.776215287082</v>
      </c>
      <c r="H12" s="16">
        <v>22801.514297483351</v>
      </c>
      <c r="J12" s="16"/>
      <c r="K12" s="17"/>
      <c r="L12" s="17" t="e">
        <f>B12/#REF!</f>
        <v>#REF!</v>
      </c>
      <c r="M12" s="17" t="e">
        <f>C12/#REF!</f>
        <v>#REF!</v>
      </c>
      <c r="N12" s="17" t="e">
        <f>D12/#REF!</f>
        <v>#REF!</v>
      </c>
      <c r="O12" s="17" t="e">
        <f>E12/#REF!</f>
        <v>#REF!</v>
      </c>
      <c r="P12" s="17" t="e">
        <f>F12/#REF!</f>
        <v>#REF!</v>
      </c>
      <c r="Q12" s="17" t="e">
        <f>G12/#REF!</f>
        <v>#REF!</v>
      </c>
      <c r="R12" s="17" t="e">
        <f>H12/#REF!</f>
        <v>#REF!</v>
      </c>
    </row>
    <row r="13" spans="1:18" s="5" customFormat="1" x14ac:dyDescent="0.25">
      <c r="A13" s="15" t="s">
        <v>7</v>
      </c>
      <c r="B13" s="16">
        <v>19955.522400684251</v>
      </c>
      <c r="C13" s="16">
        <v>20908.853509856439</v>
      </c>
      <c r="D13" s="16">
        <v>21657.123875801073</v>
      </c>
      <c r="E13" s="16">
        <v>22624.475107541533</v>
      </c>
      <c r="F13" s="16">
        <v>23610.844401915729</v>
      </c>
      <c r="G13" s="16">
        <v>24560.81993694156</v>
      </c>
      <c r="H13" s="16">
        <v>25542.477454461277</v>
      </c>
      <c r="J13" s="16"/>
      <c r="K13" s="17"/>
      <c r="L13" s="17" t="e">
        <f>B13/#REF!</f>
        <v>#REF!</v>
      </c>
      <c r="M13" s="17" t="e">
        <f>C13/#REF!</f>
        <v>#REF!</v>
      </c>
      <c r="N13" s="17" t="e">
        <f>D13/#REF!</f>
        <v>#REF!</v>
      </c>
      <c r="O13" s="17" t="e">
        <f>E13/#REF!</f>
        <v>#REF!</v>
      </c>
      <c r="P13" s="17" t="e">
        <f>F13/#REF!</f>
        <v>#REF!</v>
      </c>
      <c r="Q13" s="17" t="e">
        <f>G13/#REF!</f>
        <v>#REF!</v>
      </c>
      <c r="R13" s="17" t="e">
        <f>H13/#REF!</f>
        <v>#REF!</v>
      </c>
    </row>
    <row r="14" spans="1:18" s="5" customFormat="1" x14ac:dyDescent="0.25">
      <c r="A14" s="15" t="s">
        <v>16</v>
      </c>
      <c r="B14" s="16">
        <v>27946.555937392</v>
      </c>
      <c r="C14" s="16">
        <v>27272.520985541909</v>
      </c>
      <c r="D14" s="16">
        <v>27069.157005003828</v>
      </c>
      <c r="E14" s="16">
        <v>27464.070959415938</v>
      </c>
      <c r="F14" s="16">
        <v>27754.515082121834</v>
      </c>
      <c r="G14" s="16">
        <v>27739.50300577817</v>
      </c>
      <c r="H14" s="16">
        <v>27541.577203681751</v>
      </c>
      <c r="J14" s="16"/>
      <c r="K14" s="17"/>
      <c r="L14" s="17" t="e">
        <f>B14/#REF!</f>
        <v>#REF!</v>
      </c>
      <c r="M14" s="17" t="e">
        <f>C14/#REF!</f>
        <v>#REF!</v>
      </c>
      <c r="N14" s="17" t="e">
        <f>D14/#REF!</f>
        <v>#REF!</v>
      </c>
      <c r="O14" s="17" t="e">
        <f>E14/#REF!</f>
        <v>#REF!</v>
      </c>
      <c r="P14" s="17" t="e">
        <f>F14/#REF!</f>
        <v>#REF!</v>
      </c>
      <c r="Q14" s="17" t="e">
        <f>G14/#REF!</f>
        <v>#REF!</v>
      </c>
      <c r="R14" s="17" t="e">
        <f>H14/#REF!</f>
        <v>#REF!</v>
      </c>
    </row>
    <row r="15" spans="1:18" s="5" customFormat="1" x14ac:dyDescent="0.25">
      <c r="A15" s="15" t="s">
        <v>17</v>
      </c>
      <c r="B15" s="16">
        <v>18035.82831523296</v>
      </c>
      <c r="C15" s="16">
        <v>18578.312813004763</v>
      </c>
      <c r="D15" s="16">
        <v>18773.040241641338</v>
      </c>
      <c r="E15" s="16">
        <v>19295.430438425388</v>
      </c>
      <c r="F15" s="16">
        <v>19800.098876976666</v>
      </c>
      <c r="G15" s="16">
        <v>20351.247403641843</v>
      </c>
      <c r="H15" s="16">
        <v>20982.376314927329</v>
      </c>
      <c r="J15" s="16"/>
      <c r="K15" s="17"/>
      <c r="L15" s="17" t="e">
        <f>B15/#REF!</f>
        <v>#REF!</v>
      </c>
      <c r="M15" s="17" t="e">
        <f>C15/#REF!</f>
        <v>#REF!</v>
      </c>
      <c r="N15" s="17" t="e">
        <f>D15/#REF!</f>
        <v>#REF!</v>
      </c>
      <c r="O15" s="17" t="e">
        <f>E15/#REF!</f>
        <v>#REF!</v>
      </c>
      <c r="P15" s="17" t="e">
        <f>F15/#REF!</f>
        <v>#REF!</v>
      </c>
      <c r="Q15" s="17" t="e">
        <f>G15/#REF!</f>
        <v>#REF!</v>
      </c>
      <c r="R15" s="17" t="e">
        <f>H15/#REF!</f>
        <v>#REF!</v>
      </c>
    </row>
    <row r="16" spans="1:18" s="5" customFormat="1" x14ac:dyDescent="0.25">
      <c r="A16" s="15" t="s">
        <v>18</v>
      </c>
      <c r="B16" s="16">
        <v>15811.990202917554</v>
      </c>
      <c r="C16" s="16">
        <v>16033.768869147732</v>
      </c>
      <c r="D16" s="16">
        <v>15974.35348738153</v>
      </c>
      <c r="E16" s="16">
        <v>16105.777817907177</v>
      </c>
      <c r="F16" s="16">
        <v>16316.897647102944</v>
      </c>
      <c r="G16" s="16">
        <v>16579.870336945147</v>
      </c>
      <c r="H16" s="16">
        <v>16862.283277029728</v>
      </c>
      <c r="J16" s="16"/>
      <c r="K16" s="17"/>
      <c r="L16" s="17" t="e">
        <f>B16/#REF!</f>
        <v>#REF!</v>
      </c>
      <c r="M16" s="17" t="e">
        <f>C16/#REF!</f>
        <v>#REF!</v>
      </c>
      <c r="N16" s="17" t="e">
        <f>D16/#REF!</f>
        <v>#REF!</v>
      </c>
      <c r="O16" s="17" t="e">
        <f>E16/#REF!</f>
        <v>#REF!</v>
      </c>
      <c r="P16" s="17" t="e">
        <f>F16/#REF!</f>
        <v>#REF!</v>
      </c>
      <c r="Q16" s="17" t="e">
        <f>G16/#REF!</f>
        <v>#REF!</v>
      </c>
      <c r="R16" s="17" t="e">
        <f>H16/#REF!</f>
        <v>#REF!</v>
      </c>
    </row>
    <row r="17" spans="1:18" s="5" customFormat="1" x14ac:dyDescent="0.25">
      <c r="A17" s="15" t="s">
        <v>8</v>
      </c>
      <c r="B17" s="16">
        <v>26021.012763209339</v>
      </c>
      <c r="C17" s="16">
        <v>27501.608125870869</v>
      </c>
      <c r="D17" s="16">
        <v>28892.334640637269</v>
      </c>
      <c r="E17" s="16">
        <v>30562.93262478496</v>
      </c>
      <c r="F17" s="16">
        <v>32192.688223823199</v>
      </c>
      <c r="G17" s="16">
        <v>33705.890454472676</v>
      </c>
      <c r="H17" s="16">
        <v>35084.658745638</v>
      </c>
      <c r="J17" s="16"/>
      <c r="K17" s="17"/>
      <c r="L17" s="17" t="e">
        <f>B17/#REF!</f>
        <v>#REF!</v>
      </c>
      <c r="M17" s="17" t="e">
        <f>C17/#REF!</f>
        <v>#REF!</v>
      </c>
      <c r="N17" s="17" t="e">
        <f>D17/#REF!</f>
        <v>#REF!</v>
      </c>
      <c r="O17" s="17" t="e">
        <f>E17/#REF!</f>
        <v>#REF!</v>
      </c>
      <c r="P17" s="17" t="e">
        <f>F17/#REF!</f>
        <v>#REF!</v>
      </c>
      <c r="Q17" s="17" t="e">
        <f>G17/#REF!</f>
        <v>#REF!</v>
      </c>
      <c r="R17" s="17" t="e">
        <f>H17/#REF!</f>
        <v>#REF!</v>
      </c>
    </row>
    <row r="18" spans="1:18" s="5" customFormat="1" x14ac:dyDescent="0.25">
      <c r="A18" s="15" t="s">
        <v>19</v>
      </c>
      <c r="B18" s="16">
        <v>32726.806721341734</v>
      </c>
      <c r="C18" s="16">
        <v>31972.512013380761</v>
      </c>
      <c r="D18" s="16">
        <v>31439.577545370554</v>
      </c>
      <c r="E18" s="16">
        <v>31224.037883908288</v>
      </c>
      <c r="F18" s="16">
        <v>31190.814582032217</v>
      </c>
      <c r="G18" s="16">
        <v>31167.777017505687</v>
      </c>
      <c r="H18" s="16">
        <v>31128.482339472313</v>
      </c>
      <c r="J18" s="18"/>
      <c r="K18" s="17"/>
      <c r="L18" s="17" t="e">
        <f>B18/#REF!</f>
        <v>#REF!</v>
      </c>
      <c r="M18" s="17" t="e">
        <f>C18/#REF!</f>
        <v>#REF!</v>
      </c>
      <c r="N18" s="17" t="e">
        <f>D18/#REF!</f>
        <v>#REF!</v>
      </c>
      <c r="O18" s="17" t="e">
        <f>E18/#REF!</f>
        <v>#REF!</v>
      </c>
      <c r="P18" s="17" t="e">
        <f>F18/#REF!</f>
        <v>#REF!</v>
      </c>
      <c r="Q18" s="17" t="e">
        <f>G18/#REF!</f>
        <v>#REF!</v>
      </c>
      <c r="R18" s="17" t="e">
        <f>H18/#REF!</f>
        <v>#REF!</v>
      </c>
    </row>
    <row r="19" spans="1:18" s="5" customFormat="1" x14ac:dyDescent="0.25">
      <c r="A19" s="15" t="s">
        <v>9</v>
      </c>
      <c r="B19" s="16">
        <v>32882.176087456726</v>
      </c>
      <c r="C19" s="16">
        <v>33740.532229246899</v>
      </c>
      <c r="D19" s="16">
        <v>35959.18321522465</v>
      </c>
      <c r="E19" s="16">
        <v>38741.01682175442</v>
      </c>
      <c r="F19" s="16">
        <v>41973.974152222996</v>
      </c>
      <c r="G19" s="16">
        <v>45509.674242656234</v>
      </c>
      <c r="H19" s="16">
        <v>48938.989581236361</v>
      </c>
      <c r="J19" s="18"/>
      <c r="K19" s="36"/>
      <c r="L19" s="17" t="e">
        <f>B19/#REF!</f>
        <v>#REF!</v>
      </c>
      <c r="M19" s="17" t="e">
        <f>C19/#REF!</f>
        <v>#REF!</v>
      </c>
      <c r="N19" s="17" t="e">
        <f>D19/#REF!</f>
        <v>#REF!</v>
      </c>
      <c r="O19" s="17" t="e">
        <f>E19/#REF!</f>
        <v>#REF!</v>
      </c>
      <c r="P19" s="17" t="e">
        <f>F19/#REF!</f>
        <v>#REF!</v>
      </c>
      <c r="Q19" s="17" t="e">
        <f>G19/#REF!</f>
        <v>#REF!</v>
      </c>
      <c r="R19" s="17" t="e">
        <f>H19/#REF!</f>
        <v>#REF!</v>
      </c>
    </row>
    <row r="20" spans="1:18" s="22" customFormat="1" x14ac:dyDescent="0.25">
      <c r="A20" s="19" t="s">
        <v>30</v>
      </c>
      <c r="B20" s="20">
        <f t="shared" ref="B20:H20" si="0">SUM(B5:B19)</f>
        <v>1262535.4791112496</v>
      </c>
      <c r="C20" s="20">
        <f t="shared" si="0"/>
        <v>1316066.3248907232</v>
      </c>
      <c r="D20" s="20">
        <f t="shared" si="0"/>
        <v>1366083.2385599024</v>
      </c>
      <c r="E20" s="20">
        <f t="shared" si="0"/>
        <v>1439248.0334665813</v>
      </c>
      <c r="F20" s="20">
        <f t="shared" si="0"/>
        <v>1504751.9062270962</v>
      </c>
      <c r="G20" s="20">
        <f t="shared" si="0"/>
        <v>1564248.8871142576</v>
      </c>
      <c r="H20" s="20">
        <f t="shared" si="0"/>
        <v>1619518.7724311468</v>
      </c>
      <c r="J20" s="32"/>
      <c r="K20" s="37"/>
      <c r="L20" s="21" t="e">
        <f>B20/#REF!</f>
        <v>#REF!</v>
      </c>
      <c r="M20" s="21" t="e">
        <f>C20/#REF!</f>
        <v>#REF!</v>
      </c>
      <c r="N20" s="21" t="e">
        <f>D20/#REF!</f>
        <v>#REF!</v>
      </c>
      <c r="O20" s="21" t="e">
        <f>E20/#REF!</f>
        <v>#REF!</v>
      </c>
      <c r="P20" s="21" t="e">
        <f>F20/#REF!</f>
        <v>#REF!</v>
      </c>
      <c r="Q20" s="21" t="e">
        <f>G20/#REF!</f>
        <v>#REF!</v>
      </c>
      <c r="R20" s="21" t="e">
        <f>H20/#REF!</f>
        <v>#REF!</v>
      </c>
    </row>
    <row r="22" spans="1:18" s="7" customFormat="1" ht="26.25" customHeight="1" x14ac:dyDescent="0.25">
      <c r="A22" s="60" t="s">
        <v>25</v>
      </c>
      <c r="B22" s="60"/>
      <c r="C22" s="60"/>
      <c r="D22" s="60"/>
      <c r="E22" s="60"/>
      <c r="F22" s="60"/>
      <c r="G22" s="60"/>
      <c r="H22" s="60"/>
      <c r="I22" s="60"/>
      <c r="J22" s="60"/>
      <c r="K22" s="60"/>
      <c r="L22" s="60"/>
      <c r="M22" s="60"/>
      <c r="N22" s="60"/>
      <c r="O22" s="60"/>
      <c r="P22" s="60"/>
      <c r="Q22" s="60"/>
    </row>
    <row r="23" spans="1:18" s="7" customFormat="1" ht="15.75" customHeight="1" x14ac:dyDescent="0.25">
      <c r="A23" s="8"/>
      <c r="B23" s="11" t="s">
        <v>21</v>
      </c>
      <c r="C23" s="61" t="s">
        <v>22</v>
      </c>
      <c r="D23" s="61"/>
      <c r="E23" s="61"/>
      <c r="F23" s="61"/>
      <c r="G23" s="61"/>
      <c r="H23" s="61"/>
      <c r="I23" s="29"/>
      <c r="J23" s="8"/>
      <c r="L23" s="61" t="s">
        <v>31</v>
      </c>
      <c r="M23" s="61"/>
      <c r="N23" s="61"/>
      <c r="O23" s="61"/>
      <c r="P23" s="61"/>
      <c r="Q23" s="61"/>
      <c r="R23" s="61"/>
    </row>
    <row r="24" spans="1:18" x14ac:dyDescent="0.25">
      <c r="B24" s="2">
        <v>2020</v>
      </c>
      <c r="C24" s="2">
        <v>2025</v>
      </c>
      <c r="D24" s="2">
        <v>2030</v>
      </c>
      <c r="E24" s="2">
        <v>2035</v>
      </c>
      <c r="F24" s="2">
        <v>2040</v>
      </c>
      <c r="G24" s="2">
        <v>2045</v>
      </c>
      <c r="H24" s="2">
        <v>2050</v>
      </c>
      <c r="K24" s="2"/>
      <c r="L24" s="2">
        <v>2020</v>
      </c>
      <c r="M24" s="2">
        <v>2025</v>
      </c>
      <c r="N24" s="2">
        <v>2030</v>
      </c>
      <c r="O24" s="2">
        <v>2035</v>
      </c>
      <c r="P24" s="2">
        <v>2040</v>
      </c>
      <c r="Q24" s="2">
        <v>2045</v>
      </c>
      <c r="R24" s="2">
        <v>2050</v>
      </c>
    </row>
    <row r="25" spans="1:18" s="10" customFormat="1" x14ac:dyDescent="0.25">
      <c r="A25" s="15" t="s">
        <v>3</v>
      </c>
      <c r="B25" s="16">
        <v>111823.50230461061</v>
      </c>
      <c r="C25" s="16">
        <v>128006.62597905808</v>
      </c>
      <c r="D25" s="16">
        <v>142088.17062076132</v>
      </c>
      <c r="E25" s="16">
        <v>157109.94429689675</v>
      </c>
      <c r="F25" s="16">
        <v>171104.14291872585</v>
      </c>
      <c r="G25" s="16">
        <v>184757.85486302784</v>
      </c>
      <c r="H25" s="16">
        <v>199090.56013066179</v>
      </c>
      <c r="J25" s="16"/>
      <c r="K25" s="17"/>
      <c r="L25" s="17">
        <f t="shared" ref="L25:L40" si="1">1-(B25/B5)</f>
        <v>2.6699412033932335E-2</v>
      </c>
      <c r="M25" s="17">
        <f t="shared" ref="M25:M40" si="2">1-(C25/C5)</f>
        <v>2.6393527914940096E-2</v>
      </c>
      <c r="N25" s="17">
        <f t="shared" ref="N25:N40" si="3">1-(D25/D5)</f>
        <v>2.6155668336617532E-2</v>
      </c>
      <c r="O25" s="17">
        <f t="shared" ref="O25:O40" si="4">1-(E25/E5)</f>
        <v>2.5883060248203305E-2</v>
      </c>
      <c r="P25" s="17">
        <f t="shared" ref="P25:P40" si="5">1-(F25/F5)</f>
        <v>2.5765704531647615E-2</v>
      </c>
      <c r="Q25" s="17">
        <f t="shared" ref="Q25:Q40" si="6">1-(G25/G5)</f>
        <v>2.5773256945631706E-2</v>
      </c>
      <c r="R25" s="17">
        <f t="shared" ref="R25:R40" si="7">1-(H25/H5)</f>
        <v>2.5897649510883025E-2</v>
      </c>
    </row>
    <row r="26" spans="1:18" s="10" customFormat="1" x14ac:dyDescent="0.25">
      <c r="A26" s="15" t="s">
        <v>4</v>
      </c>
      <c r="B26" s="16">
        <v>76347.246613453506</v>
      </c>
      <c r="C26" s="16">
        <v>79760.693484117801</v>
      </c>
      <c r="D26" s="16">
        <v>82935.604092217574</v>
      </c>
      <c r="E26" s="16">
        <v>87410.685237433252</v>
      </c>
      <c r="F26" s="16">
        <v>92080.632768694981</v>
      </c>
      <c r="G26" s="16">
        <v>96820.909123621081</v>
      </c>
      <c r="H26" s="16">
        <v>101371.46180866608</v>
      </c>
      <c r="J26" s="16"/>
      <c r="K26" s="17"/>
      <c r="L26" s="17">
        <f t="shared" si="1"/>
        <v>4.2187219579460589E-2</v>
      </c>
      <c r="M26" s="17">
        <f t="shared" si="2"/>
        <v>4.2443333105338099E-2</v>
      </c>
      <c r="N26" s="17">
        <f t="shared" si="3"/>
        <v>4.2323513757210107E-2</v>
      </c>
      <c r="O26" s="17">
        <f t="shared" si="4"/>
        <v>4.2182039542051131E-2</v>
      </c>
      <c r="P26" s="17">
        <f t="shared" si="5"/>
        <v>4.2174152040254875E-2</v>
      </c>
      <c r="Q26" s="17">
        <f t="shared" si="6"/>
        <v>4.2242978685626542E-2</v>
      </c>
      <c r="R26" s="17">
        <f t="shared" si="7"/>
        <v>4.2348944729380888E-2</v>
      </c>
    </row>
    <row r="27" spans="1:18" x14ac:dyDescent="0.25">
      <c r="A27" s="15" t="s">
        <v>12</v>
      </c>
      <c r="B27" s="16">
        <v>12431.12555691775</v>
      </c>
      <c r="C27" s="16">
        <v>12597.454777065854</v>
      </c>
      <c r="D27" s="16">
        <v>12828.405304365286</v>
      </c>
      <c r="E27" s="16">
        <v>13025.054876818471</v>
      </c>
      <c r="F27" s="16">
        <v>13226.895906495574</v>
      </c>
      <c r="G27" s="16">
        <v>13478.678642299115</v>
      </c>
      <c r="H27" s="16">
        <v>13770.887130910869</v>
      </c>
      <c r="J27" s="16"/>
      <c r="K27" s="17"/>
      <c r="L27" s="17">
        <f t="shared" si="1"/>
        <v>5.0066105485801149E-2</v>
      </c>
      <c r="M27" s="17">
        <f t="shared" si="2"/>
        <v>5.0319338047006723E-2</v>
      </c>
      <c r="N27" s="17">
        <f t="shared" si="3"/>
        <v>5.0161685799508415E-2</v>
      </c>
      <c r="O27" s="17">
        <f t="shared" si="4"/>
        <v>5.0388876713506781E-2</v>
      </c>
      <c r="P27" s="17">
        <f t="shared" si="5"/>
        <v>4.9407606228865641E-2</v>
      </c>
      <c r="Q27" s="17">
        <f t="shared" si="6"/>
        <v>4.9132107753438903E-2</v>
      </c>
      <c r="R27" s="17">
        <f t="shared" si="7"/>
        <v>4.9319788551379196E-2</v>
      </c>
    </row>
    <row r="28" spans="1:18" s="10" customFormat="1" x14ac:dyDescent="0.25">
      <c r="A28" s="15" t="s">
        <v>5</v>
      </c>
      <c r="B28" s="16">
        <v>690360.95177202183</v>
      </c>
      <c r="C28" s="16">
        <v>715734.89206661144</v>
      </c>
      <c r="D28" s="16">
        <v>739552.4209681974</v>
      </c>
      <c r="E28" s="16">
        <v>776337.46427707921</v>
      </c>
      <c r="F28" s="16">
        <v>807962.48571818194</v>
      </c>
      <c r="G28" s="16">
        <v>835003.07551983162</v>
      </c>
      <c r="H28" s="16">
        <v>858361.98289158661</v>
      </c>
      <c r="J28" s="16"/>
      <c r="K28" s="17"/>
      <c r="L28" s="17">
        <f t="shared" si="1"/>
        <v>4.9165916164204959E-2</v>
      </c>
      <c r="M28" s="17">
        <f t="shared" si="2"/>
        <v>4.9237491904951081E-2</v>
      </c>
      <c r="N28" s="17">
        <f t="shared" si="3"/>
        <v>4.9365486908920952E-2</v>
      </c>
      <c r="O28" s="17">
        <f t="shared" si="4"/>
        <v>4.9088180102296652E-2</v>
      </c>
      <c r="P28" s="17">
        <f t="shared" si="5"/>
        <v>4.9103397505226631E-2</v>
      </c>
      <c r="Q28" s="17">
        <f t="shared" si="6"/>
        <v>4.9050638769573385E-2</v>
      </c>
      <c r="R28" s="17">
        <f t="shared" si="7"/>
        <v>4.8993342863948408E-2</v>
      </c>
    </row>
    <row r="29" spans="1:18" x14ac:dyDescent="0.25">
      <c r="A29" s="15" t="s">
        <v>13</v>
      </c>
      <c r="B29" s="16">
        <v>12643.387747963496</v>
      </c>
      <c r="C29" s="16">
        <v>12312.200127741908</v>
      </c>
      <c r="D29" s="16">
        <v>11974.164838538241</v>
      </c>
      <c r="E29" s="16">
        <v>11825.885325459165</v>
      </c>
      <c r="F29" s="16">
        <v>11744.511507541847</v>
      </c>
      <c r="G29" s="16">
        <v>11724.734834209252</v>
      </c>
      <c r="H29" s="16">
        <v>11670.925997705837</v>
      </c>
      <c r="J29" s="16"/>
      <c r="K29" s="17"/>
      <c r="L29" s="17">
        <f t="shared" si="1"/>
        <v>3.7913932509351045E-2</v>
      </c>
      <c r="M29" s="17">
        <f t="shared" si="2"/>
        <v>3.7268779858905976E-2</v>
      </c>
      <c r="N29" s="17">
        <f t="shared" si="3"/>
        <v>3.7256034097140178E-2</v>
      </c>
      <c r="O29" s="17">
        <f t="shared" si="4"/>
        <v>3.7215546329602445E-2</v>
      </c>
      <c r="P29" s="17">
        <f t="shared" si="5"/>
        <v>3.7042143273773309E-2</v>
      </c>
      <c r="Q29" s="17">
        <f t="shared" si="6"/>
        <v>3.7188500975408378E-2</v>
      </c>
      <c r="R29" s="17">
        <f t="shared" si="7"/>
        <v>3.7480416974480013E-2</v>
      </c>
    </row>
    <row r="30" spans="1:18" x14ac:dyDescent="0.25">
      <c r="A30" s="15" t="s">
        <v>14</v>
      </c>
      <c r="B30" s="16">
        <v>29158.3925879737</v>
      </c>
      <c r="C30" s="16">
        <v>29147.430574593196</v>
      </c>
      <c r="D30" s="16">
        <v>29137.206862875428</v>
      </c>
      <c r="E30" s="16">
        <v>29692.543198556603</v>
      </c>
      <c r="F30" s="16">
        <v>30332.823813901683</v>
      </c>
      <c r="G30" s="16">
        <v>31082.578296249718</v>
      </c>
      <c r="H30" s="16">
        <v>31761.577652441294</v>
      </c>
      <c r="J30" s="16"/>
      <c r="K30" s="17"/>
      <c r="L30" s="17">
        <f t="shared" si="1"/>
        <v>4.3124714421376442E-2</v>
      </c>
      <c r="M30" s="17">
        <f t="shared" si="2"/>
        <v>4.3505728509922514E-2</v>
      </c>
      <c r="N30" s="17">
        <f t="shared" si="3"/>
        <v>4.377915661282239E-2</v>
      </c>
      <c r="O30" s="17">
        <f t="shared" si="4"/>
        <v>4.3916658605541059E-2</v>
      </c>
      <c r="P30" s="17">
        <f t="shared" si="5"/>
        <v>4.4167826107624708E-2</v>
      </c>
      <c r="Q30" s="17">
        <f t="shared" si="6"/>
        <v>4.4351001508784238E-2</v>
      </c>
      <c r="R30" s="17">
        <f t="shared" si="7"/>
        <v>4.4427220792252253E-2</v>
      </c>
    </row>
    <row r="31" spans="1:18" s="10" customFormat="1" x14ac:dyDescent="0.25">
      <c r="A31" s="15" t="s">
        <v>6</v>
      </c>
      <c r="B31" s="16">
        <v>85902.536935572411</v>
      </c>
      <c r="C31" s="16">
        <v>90274.538438393502</v>
      </c>
      <c r="D31" s="16">
        <v>93767.987711073394</v>
      </c>
      <c r="E31" s="16">
        <v>101203.65949462901</v>
      </c>
      <c r="F31" s="16">
        <v>106181.88291663365</v>
      </c>
      <c r="G31" s="16">
        <v>109994.77891065257</v>
      </c>
      <c r="H31" s="16">
        <v>113350.08255496384</v>
      </c>
      <c r="J31" s="16"/>
      <c r="K31" s="17"/>
      <c r="L31" s="17">
        <f t="shared" si="1"/>
        <v>3.9195674641661182E-2</v>
      </c>
      <c r="M31" s="17">
        <f t="shared" si="2"/>
        <v>3.9277021698230552E-2</v>
      </c>
      <c r="N31" s="17">
        <f t="shared" si="3"/>
        <v>3.9392416365225502E-2</v>
      </c>
      <c r="O31" s="17">
        <f t="shared" si="4"/>
        <v>3.9434984482005664E-2</v>
      </c>
      <c r="P31" s="17">
        <f t="shared" si="5"/>
        <v>3.9430456932316837E-2</v>
      </c>
      <c r="Q31" s="17">
        <f t="shared" si="6"/>
        <v>3.9283344680926979E-2</v>
      </c>
      <c r="R31" s="17">
        <f t="shared" si="7"/>
        <v>3.9137775244425965E-2</v>
      </c>
    </row>
    <row r="32" spans="1:18" x14ac:dyDescent="0.25">
      <c r="A32" s="15" t="s">
        <v>15</v>
      </c>
      <c r="B32" s="16">
        <v>21388.480349758844</v>
      </c>
      <c r="C32" s="16">
        <v>21022.465796035598</v>
      </c>
      <c r="D32" s="16">
        <v>20869.831118399139</v>
      </c>
      <c r="E32" s="16">
        <v>20901.565172071954</v>
      </c>
      <c r="F32" s="16">
        <v>21107.152294881911</v>
      </c>
      <c r="G32" s="16">
        <v>21462.942474625732</v>
      </c>
      <c r="H32" s="16">
        <v>21791.719145030584</v>
      </c>
      <c r="J32" s="16"/>
      <c r="K32" s="17"/>
      <c r="L32" s="17">
        <f t="shared" si="1"/>
        <v>4.468559785477455E-2</v>
      </c>
      <c r="M32" s="17">
        <f t="shared" si="2"/>
        <v>4.4099464094608298E-2</v>
      </c>
      <c r="N32" s="17">
        <f t="shared" si="3"/>
        <v>4.3928975578145013E-2</v>
      </c>
      <c r="O32" s="17">
        <f t="shared" si="4"/>
        <v>4.3745600695254017E-2</v>
      </c>
      <c r="P32" s="17">
        <f t="shared" si="5"/>
        <v>4.3934341793670617E-2</v>
      </c>
      <c r="Q32" s="17">
        <f t="shared" si="6"/>
        <v>4.4127710687112187E-2</v>
      </c>
      <c r="R32" s="17">
        <f t="shared" si="7"/>
        <v>4.4286319727642853E-2</v>
      </c>
    </row>
    <row r="33" spans="1:18" s="10" customFormat="1" x14ac:dyDescent="0.25">
      <c r="A33" s="15" t="s">
        <v>7</v>
      </c>
      <c r="B33" s="16">
        <v>19186.00129613735</v>
      </c>
      <c r="C33" s="16">
        <v>20105.598946439604</v>
      </c>
      <c r="D33" s="16">
        <v>20831.418744869145</v>
      </c>
      <c r="E33" s="16">
        <v>21764.601398616935</v>
      </c>
      <c r="F33" s="16">
        <v>22723.979665058516</v>
      </c>
      <c r="G33" s="16">
        <v>23654.761555034525</v>
      </c>
      <c r="H33" s="16">
        <v>24605.559183060464</v>
      </c>
      <c r="J33" s="16"/>
      <c r="K33" s="17"/>
      <c r="L33" s="17">
        <f t="shared" si="1"/>
        <v>3.8561812068648949E-2</v>
      </c>
      <c r="M33" s="17">
        <f t="shared" si="2"/>
        <v>3.8416958779599275E-2</v>
      </c>
      <c r="N33" s="17">
        <f t="shared" si="3"/>
        <v>3.8126259777945037E-2</v>
      </c>
      <c r="O33" s="17">
        <f t="shared" si="4"/>
        <v>3.8006349532412886E-2</v>
      </c>
      <c r="P33" s="17">
        <f t="shared" si="5"/>
        <v>3.7561754326128849E-2</v>
      </c>
      <c r="Q33" s="17">
        <f t="shared" si="6"/>
        <v>3.6890396339913978E-2</v>
      </c>
      <c r="R33" s="17">
        <f t="shared" si="7"/>
        <v>3.6680790775726835E-2</v>
      </c>
    </row>
    <row r="34" spans="1:18" x14ac:dyDescent="0.25">
      <c r="A34" s="15" t="s">
        <v>16</v>
      </c>
      <c r="B34" s="16">
        <v>26201.029145949768</v>
      </c>
      <c r="C34" s="16">
        <v>25549.809726010495</v>
      </c>
      <c r="D34" s="16">
        <v>25334.405695511061</v>
      </c>
      <c r="E34" s="16">
        <v>25686.583572381187</v>
      </c>
      <c r="F34" s="16">
        <v>25957.783595850531</v>
      </c>
      <c r="G34" s="16">
        <v>25958.266950977897</v>
      </c>
      <c r="H34" s="16">
        <v>25798.324927666476</v>
      </c>
      <c r="J34" s="16"/>
      <c r="K34" s="17"/>
      <c r="L34" s="17">
        <f t="shared" si="1"/>
        <v>6.2459459954661178E-2</v>
      </c>
      <c r="M34" s="17">
        <f t="shared" si="2"/>
        <v>6.316655729936671E-2</v>
      </c>
      <c r="N34" s="17">
        <f t="shared" si="3"/>
        <v>6.4085900760488812E-2</v>
      </c>
      <c r="O34" s="17">
        <f t="shared" si="4"/>
        <v>6.4720462951809665E-2</v>
      </c>
      <c r="P34" s="17">
        <f t="shared" si="5"/>
        <v>6.4736547583519988E-2</v>
      </c>
      <c r="Q34" s="17">
        <f t="shared" si="6"/>
        <v>6.4212976506076491E-2</v>
      </c>
      <c r="R34" s="17">
        <f t="shared" si="7"/>
        <v>6.3295295803983187E-2</v>
      </c>
    </row>
    <row r="35" spans="1:18" x14ac:dyDescent="0.25">
      <c r="A35" s="15" t="s">
        <v>17</v>
      </c>
      <c r="B35" s="16">
        <v>17535.005406585951</v>
      </c>
      <c r="C35" s="16">
        <v>18063.126912501033</v>
      </c>
      <c r="D35" s="16">
        <v>18272.944466104622</v>
      </c>
      <c r="E35" s="16">
        <v>18785.608410841982</v>
      </c>
      <c r="F35" s="16">
        <v>19265.301701889737</v>
      </c>
      <c r="G35" s="16">
        <v>19803.766364592513</v>
      </c>
      <c r="H35" s="16">
        <v>20422.376279397307</v>
      </c>
      <c r="J35" s="16"/>
      <c r="K35" s="17"/>
      <c r="L35" s="17">
        <f t="shared" si="1"/>
        <v>2.7768223332665931E-2</v>
      </c>
      <c r="M35" s="17">
        <f t="shared" si="2"/>
        <v>2.7730499840819878E-2</v>
      </c>
      <c r="N35" s="17">
        <f t="shared" si="3"/>
        <v>2.6639040299260119E-2</v>
      </c>
      <c r="O35" s="17">
        <f t="shared" si="4"/>
        <v>2.6421904875888913E-2</v>
      </c>
      <c r="P35" s="17">
        <f t="shared" si="5"/>
        <v>2.7009823456426552E-2</v>
      </c>
      <c r="Q35" s="17">
        <f t="shared" si="6"/>
        <v>2.6901596162177133E-2</v>
      </c>
      <c r="R35" s="17">
        <f t="shared" si="7"/>
        <v>2.6689066439611331E-2</v>
      </c>
    </row>
    <row r="36" spans="1:18" x14ac:dyDescent="0.25">
      <c r="A36" s="15" t="s">
        <v>18</v>
      </c>
      <c r="B36" s="16">
        <v>14855.114073715054</v>
      </c>
      <c r="C36" s="16">
        <v>15057.065151280598</v>
      </c>
      <c r="D36" s="16">
        <v>15009.651547880199</v>
      </c>
      <c r="E36" s="16">
        <v>15144.063172058439</v>
      </c>
      <c r="F36" s="16">
        <v>15335.683103668707</v>
      </c>
      <c r="G36" s="16">
        <v>15578.47875226342</v>
      </c>
      <c r="H36" s="16">
        <v>15843.426634100868</v>
      </c>
      <c r="J36" s="16"/>
      <c r="K36" s="17"/>
      <c r="L36" s="17">
        <f t="shared" si="1"/>
        <v>6.0515856443292049E-2</v>
      </c>
      <c r="M36" s="17">
        <f t="shared" si="2"/>
        <v>6.0915417069938749E-2</v>
      </c>
      <c r="N36" s="17">
        <f t="shared" si="3"/>
        <v>6.039067185181346E-2</v>
      </c>
      <c r="O36" s="17">
        <f t="shared" si="4"/>
        <v>5.9712399905297198E-2</v>
      </c>
      <c r="P36" s="17">
        <f t="shared" si="5"/>
        <v>6.0134871509012089E-2</v>
      </c>
      <c r="Q36" s="17">
        <f t="shared" si="6"/>
        <v>6.0398034745200224E-2</v>
      </c>
      <c r="R36" s="17">
        <f t="shared" si="7"/>
        <v>6.0422223146777254E-2</v>
      </c>
    </row>
    <row r="37" spans="1:18" s="10" customFormat="1" x14ac:dyDescent="0.25">
      <c r="A37" s="15" t="s">
        <v>8</v>
      </c>
      <c r="B37" s="16">
        <v>24857.627349103092</v>
      </c>
      <c r="C37" s="16">
        <v>26283.215451169388</v>
      </c>
      <c r="D37" s="16">
        <v>27614.421872442817</v>
      </c>
      <c r="E37" s="16">
        <v>29213.180547033156</v>
      </c>
      <c r="F37" s="16">
        <v>30793.115620329194</v>
      </c>
      <c r="G37" s="16">
        <v>32249.608985616745</v>
      </c>
      <c r="H37" s="16">
        <v>33584.036864976944</v>
      </c>
      <c r="J37" s="16"/>
      <c r="K37" s="17"/>
      <c r="L37" s="17">
        <f t="shared" si="1"/>
        <v>4.4709459416242936E-2</v>
      </c>
      <c r="M37" s="17">
        <f t="shared" si="2"/>
        <v>4.430259747448495E-2</v>
      </c>
      <c r="N37" s="17">
        <f t="shared" si="3"/>
        <v>4.4230166377661195E-2</v>
      </c>
      <c r="O37" s="17">
        <f t="shared" si="4"/>
        <v>4.4163042019639942E-2</v>
      </c>
      <c r="P37" s="17">
        <f t="shared" si="5"/>
        <v>4.3474859687495648E-2</v>
      </c>
      <c r="Q37" s="17">
        <f t="shared" si="6"/>
        <v>4.3205548027961505E-2</v>
      </c>
      <c r="R37" s="17">
        <f t="shared" si="7"/>
        <v>4.2771454370996942E-2</v>
      </c>
    </row>
    <row r="38" spans="1:18" x14ac:dyDescent="0.25">
      <c r="A38" s="15" t="s">
        <v>19</v>
      </c>
      <c r="B38" s="16">
        <v>30667.823066914618</v>
      </c>
      <c r="C38" s="16">
        <v>29940.636285841334</v>
      </c>
      <c r="D38" s="16">
        <v>29429.995416772588</v>
      </c>
      <c r="E38" s="16">
        <v>29215.990269009399</v>
      </c>
      <c r="F38" s="16">
        <v>29196.933089390885</v>
      </c>
      <c r="G38" s="16">
        <v>29179.278820256612</v>
      </c>
      <c r="H38" s="16">
        <v>29153.949877100651</v>
      </c>
      <c r="J38" s="18"/>
      <c r="K38" s="17"/>
      <c r="L38" s="17">
        <f t="shared" si="1"/>
        <v>6.2914285281747806E-2</v>
      </c>
      <c r="M38" s="17">
        <f t="shared" si="2"/>
        <v>6.3550706515930644E-2</v>
      </c>
      <c r="N38" s="17">
        <f t="shared" si="3"/>
        <v>6.3918865503136302E-2</v>
      </c>
      <c r="O38" s="17">
        <f t="shared" si="4"/>
        <v>6.4310952425975731E-2</v>
      </c>
      <c r="P38" s="17">
        <f t="shared" si="5"/>
        <v>6.3925277981996875E-2</v>
      </c>
      <c r="Q38" s="17">
        <f t="shared" si="6"/>
        <v>6.3799808248506618E-2</v>
      </c>
      <c r="R38" s="17">
        <f t="shared" si="7"/>
        <v>6.3431697081738792E-2</v>
      </c>
    </row>
    <row r="39" spans="1:18" s="10" customFormat="1" x14ac:dyDescent="0.25">
      <c r="A39" s="15" t="s">
        <v>9</v>
      </c>
      <c r="B39" s="16">
        <v>31920.045417440888</v>
      </c>
      <c r="C39" s="16">
        <v>32773.430593586127</v>
      </c>
      <c r="D39" s="16">
        <v>34938.226452414136</v>
      </c>
      <c r="E39" s="16">
        <v>37625.14305359096</v>
      </c>
      <c r="F39" s="16">
        <v>40733.209701056738</v>
      </c>
      <c r="G39" s="16">
        <v>44136.47061021821</v>
      </c>
      <c r="H39" s="16">
        <v>47472.250110714951</v>
      </c>
      <c r="J39" s="18"/>
      <c r="K39" s="36"/>
      <c r="L39" s="17">
        <f t="shared" si="1"/>
        <v>2.9259945189054948E-2</v>
      </c>
      <c r="M39" s="17">
        <f t="shared" si="2"/>
        <v>2.8662903984142618E-2</v>
      </c>
      <c r="N39" s="17">
        <f t="shared" si="3"/>
        <v>2.8392101030210726E-2</v>
      </c>
      <c r="O39" s="17">
        <f t="shared" si="4"/>
        <v>2.8803419726888935E-2</v>
      </c>
      <c r="P39" s="17">
        <f t="shared" si="5"/>
        <v>2.9560328184948581E-2</v>
      </c>
      <c r="Q39" s="17">
        <f t="shared" si="6"/>
        <v>3.0173884021145514E-2</v>
      </c>
      <c r="R39" s="17">
        <f t="shared" si="7"/>
        <v>2.9970775511960479E-2</v>
      </c>
    </row>
    <row r="40" spans="1:18" s="12" customFormat="1" x14ac:dyDescent="0.25">
      <c r="A40" s="19" t="s">
        <v>30</v>
      </c>
      <c r="B40" s="20">
        <f t="shared" ref="B40:H40" si="8">SUM(B25:B39)</f>
        <v>1205278.2696241189</v>
      </c>
      <c r="C40" s="20">
        <f t="shared" si="8"/>
        <v>1256629.1843104458</v>
      </c>
      <c r="D40" s="20">
        <f t="shared" si="8"/>
        <v>1304584.8557124222</v>
      </c>
      <c r="E40" s="20">
        <f t="shared" si="8"/>
        <v>1374941.9723024769</v>
      </c>
      <c r="F40" s="20">
        <f t="shared" si="8"/>
        <v>1437746.5343223021</v>
      </c>
      <c r="G40" s="20">
        <f t="shared" si="8"/>
        <v>1494886.184703477</v>
      </c>
      <c r="H40" s="20">
        <f t="shared" si="8"/>
        <v>1548049.1211889847</v>
      </c>
      <c r="J40" s="32"/>
      <c r="K40" s="37"/>
      <c r="L40" s="21">
        <f t="shared" si="1"/>
        <v>4.5350970673264879E-2</v>
      </c>
      <c r="M40" s="21">
        <f t="shared" si="2"/>
        <v>4.5162724291431644E-2</v>
      </c>
      <c r="N40" s="21">
        <f t="shared" si="3"/>
        <v>4.5018034854384603E-2</v>
      </c>
      <c r="O40" s="21">
        <f t="shared" si="4"/>
        <v>4.4680318936560548E-2</v>
      </c>
      <c r="P40" s="21">
        <f t="shared" si="5"/>
        <v>4.4529182270849232E-2</v>
      </c>
      <c r="Q40" s="21">
        <f t="shared" si="6"/>
        <v>4.4342497528472968E-2</v>
      </c>
      <c r="R40" s="21">
        <f t="shared" si="7"/>
        <v>4.4130177716233066E-2</v>
      </c>
    </row>
    <row r="43" spans="1:18" x14ac:dyDescent="0.25">
      <c r="A43" s="13">
        <v>1</v>
      </c>
      <c r="B43" s="13" t="s">
        <v>50</v>
      </c>
    </row>
    <row r="45" spans="1:18" x14ac:dyDescent="0.25">
      <c r="B45" s="28" t="s">
        <v>47</v>
      </c>
    </row>
  </sheetData>
  <mergeCells count="7">
    <mergeCell ref="C1:R1"/>
    <mergeCell ref="A2:R2"/>
    <mergeCell ref="A22:Q22"/>
    <mergeCell ref="C23:H23"/>
    <mergeCell ref="C3:H3"/>
    <mergeCell ref="L3:R3"/>
    <mergeCell ref="L23:R23"/>
  </mergeCells>
  <pageMargins left="0.7" right="0.7" top="0.75" bottom="0.75" header="0.3" footer="0.3"/>
  <pageSetup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F65C12-2485-4EA2-BCA0-6F4A4C61EC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Figures</vt:lpstr>
      <vt:lpstr>Population Chart Data</vt:lpstr>
      <vt:lpstr>Other chart data</vt:lpstr>
      <vt:lpstr>Total Population</vt:lpstr>
      <vt:lpstr>Households and Housing Units</vt:lpstr>
      <vt:lpstr>Residential Labor Force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 Whelan</dc:creator>
  <cp:lastModifiedBy>Adam Porr</cp:lastModifiedBy>
  <dcterms:created xsi:type="dcterms:W3CDTF">2019-02-11T21:52:42Z</dcterms:created>
  <dcterms:modified xsi:type="dcterms:W3CDTF">2023-01-27T21:12:52Z</dcterms:modified>
</cp:coreProperties>
</file>